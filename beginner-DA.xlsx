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hidePivotFieldList="1" defaultThemeVersion="166925"/>
  <mc:AlternateContent xmlns:mc="http://schemas.openxmlformats.org/markup-compatibility/2006">
    <mc:Choice Requires="x15">
      <x15ac:absPath xmlns:x15ac="http://schemas.microsoft.com/office/spreadsheetml/2010/11/ac" url="C:\Users\MUSKAN KUMARI\Downloads\"/>
    </mc:Choice>
  </mc:AlternateContent>
  <xr:revisionPtr revIDLastSave="0" documentId="13_ncr:1_{0D6D4565-6E3B-47C2-957F-457E6872D500}" xr6:coauthVersionLast="47" xr6:coauthVersionMax="47" xr10:uidLastSave="{00000000-0000-0000-0000-000000000000}"/>
  <bookViews>
    <workbookView xWindow="-108" yWindow="-108" windowWidth="23256" windowHeight="12456" xr2:uid="{26D4546B-D2A1-4444-8EAF-A6228F96F0C1}"/>
  </bookViews>
  <sheets>
    <sheet name="Data" sheetId="1" r:id="rId1"/>
    <sheet name="D1" sheetId="2" r:id="rId2"/>
    <sheet name="D2" sheetId="4" r:id="rId3"/>
    <sheet name="D3" sheetId="5" r:id="rId4"/>
    <sheet name="D4" sheetId="6" r:id="rId5"/>
    <sheet name="D5" sheetId="7" r:id="rId6"/>
    <sheet name="D6" sheetId="8" r:id="rId7"/>
    <sheet name="D7" sheetId="9" r:id="rId8"/>
    <sheet name="D8" sheetId="11" r:id="rId9"/>
    <sheet name="D9" sheetId="12" r:id="rId10"/>
  </sheets>
  <externalReferences>
    <externalReference r:id="rId11"/>
  </externalReferences>
  <definedNames>
    <definedName name="_xlnm._FilterDatabase" localSheetId="3" hidden="1">'D3'!#REF!</definedName>
    <definedName name="_xlnm._FilterDatabase" localSheetId="9" hidden="1">'D9'!$H$11:$J$311</definedName>
    <definedName name="_xlnm._FilterDatabase" localSheetId="0" hidden="1">Data!$C$11:$G$11</definedName>
    <definedName name="_xlcn.WorksheetConnection_beginnerDAcourseblank.xlsxproducts1" hidden="1">products[]</definedName>
    <definedName name="_xlcn.WorksheetConnection_beginnerDAcourseblank.xlsxTable21" hidden="1">Table2[]</definedName>
    <definedName name="Slicer_Geography">#N/A</definedName>
    <definedName name="Slicer_Sales_Person">#N/A</definedName>
  </definedNames>
  <calcPr calcId="191029"/>
  <pivotCaches>
    <pivotCache cacheId="0" r:id="rId12"/>
    <pivotCache cacheId="1" r:id="rId13"/>
    <pivotCache cacheId="2" r:id="rId14"/>
  </pivotCaches>
  <extLst>
    <ext xmlns:x14="http://schemas.microsoft.com/office/spreadsheetml/2009/9/main" uri="{876F7934-8845-4945-9796-88D515C7AA90}">
      <x14:pivotCaches>
        <pivotCache cacheId="3"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beginner-DA-course-blank.xlsx!Table2"/>
          <x15:modelTable id="products" name="products" connection="WorksheetConnection_beginner-DA-course-blank.xlsx!products"/>
        </x15:modelTables>
        <x15:modelRelationships>
          <x15:modelRelationship fromTable="Table2" fromColumn="Amount" toTable="products" toColumn="Cost per uni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 i="1" l="1"/>
  <c r="E18" i="12"/>
  <c r="E15" i="12"/>
  <c r="I12" i="12"/>
  <c r="K12" i="12" s="1"/>
  <c r="K13" i="12"/>
  <c r="K14" i="12"/>
  <c r="K15" i="12"/>
  <c r="K16" i="12"/>
  <c r="K17" i="12"/>
  <c r="K18" i="12"/>
  <c r="K19" i="12"/>
  <c r="K20" i="12"/>
  <c r="K21" i="12"/>
  <c r="D18" i="12"/>
  <c r="D15" i="12"/>
  <c r="E11" i="12"/>
  <c r="H14" i="1"/>
  <c r="H13"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E16" i="12" l="1"/>
  <c r="E17" i="12" s="1"/>
  <c r="D16" i="12"/>
  <c r="D17" i="12" s="1"/>
  <c r="F8" i="5"/>
  <c r="G8" i="5" s="1"/>
  <c r="F9" i="5"/>
  <c r="G9" i="5" s="1"/>
  <c r="F10" i="5"/>
  <c r="G10" i="5" s="1"/>
  <c r="F11" i="5"/>
  <c r="G11" i="5" s="1"/>
  <c r="F12" i="5"/>
  <c r="G12" i="5" s="1"/>
  <c r="F13" i="5"/>
  <c r="G13" i="5" s="1"/>
  <c r="H9" i="5"/>
  <c r="H10" i="5"/>
  <c r="H11" i="5"/>
  <c r="H12" i="5"/>
  <c r="H13" i="5"/>
  <c r="H8" i="5"/>
  <c r="C5" i="2"/>
  <c r="D12" i="2"/>
  <c r="D11" i="2"/>
  <c r="D9" i="2"/>
  <c r="D8" i="2"/>
  <c r="D7" i="2"/>
  <c r="D6" i="2"/>
  <c r="D5" i="2"/>
  <c r="D37" i="2"/>
  <c r="D14" i="2" a="1"/>
  <c r="D14" i="2" s="1"/>
  <c r="C12" i="2"/>
  <c r="C11" i="2"/>
  <c r="D10" i="2" l="1"/>
  <c r="C9" i="2"/>
  <c r="C8" i="2"/>
  <c r="C7" i="2"/>
  <c r="C6" i="2"/>
  <c r="C10"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1F66E2-1177-47A1-AFED-F6F4FABB003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CCCF854-3949-40BC-A236-4EE1549FADAE}" name="WorksheetConnection_beginner-DA-course-blank.xlsx!products" type="102" refreshedVersion="7" minRefreshableVersion="5">
    <extLst>
      <ext xmlns:x15="http://schemas.microsoft.com/office/spreadsheetml/2010/11/main" uri="{DE250136-89BD-433C-8126-D09CA5730AF9}">
        <x15:connection id="products">
          <x15:rangePr sourceName="_xlcn.WorksheetConnection_beginnerDAcourseblank.xlsxproducts1"/>
        </x15:connection>
      </ext>
    </extLst>
  </connection>
  <connection id="3" xr16:uid="{4514C492-B766-459E-B116-42881C7C6D07}" name="WorksheetConnection_beginner-DA-course-blank.xlsx!Table2" type="102" refreshedVersion="7" minRefreshableVersion="5">
    <extLst>
      <ext xmlns:x15="http://schemas.microsoft.com/office/spreadsheetml/2010/11/main" uri="{DE250136-89BD-433C-8126-D09CA5730AF9}">
        <x15:connection id="Table2">
          <x15:rangePr sourceName="_xlcn.WorksheetConnection_beginnerDAcourseblank.xlsxTable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<sst xmlns="http://schemas.openxmlformats.org/spreadsheetml/2006/main" count="2937" uniqueCount="100">
  <si>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</si>
  <si>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</si>
  <si>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</si>
  <si>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</si>
  <si>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</si>
  <si>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</si>
  <si>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</si>
  <si>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</si>
  <si>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</si>
  <si>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</si>
  <si>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</si>
  <si>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</si>
  <si>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</si>
  <si>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</si>
  <si>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</si>
  <si>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</si>
  <si>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</si>
  <si>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</si>
  <si>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</si>
  <si>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</si>
  <si>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</si>
  <si>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</si>
  <si>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</si>
  <si>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</si>
  <si>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</si>
  <si>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</si>
  <si>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</si>
  <si>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</si>
  <si>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</si>
  <si>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</si>
  <si>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</si>
  <si>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</si>
  <si>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</si>
  <si>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</si>
  <si>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</si>
  <si>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</si>
  <si>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</si>
  <si>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</si>
  <si>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</si>
  <si>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</si>
  <si>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</si>
  <si>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</si>
  <si>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Beginner Excel Data Analysis Course</t>
  </si>
  <si>
    <t>Questions</t>
  </si>
  <si>
    <t>Quick statistics</t>
  </si>
  <si>
    <t>Sales by country (with formulas)</t>
  </si>
  <si>
    <t>Sales by country (with pivots)</t>
  </si>
  <si>
    <t>Dynamic country-level Sales Report</t>
  </si>
  <si>
    <t>Which products to discontinue?</t>
  </si>
  <si>
    <t>Best Sales person by country</t>
  </si>
  <si>
    <t>Units</t>
  </si>
  <si>
    <t>Cost per unit</t>
  </si>
  <si>
    <t>Profits by product (using products table) - See column Y</t>
  </si>
  <si>
    <t>Exploratory Data Analysis (EDA) with CF</t>
  </si>
  <si>
    <t>Top 5 products by $ per unit</t>
  </si>
  <si>
    <t>Are there any anomalies in the data?</t>
  </si>
  <si>
    <t>SUM</t>
  </si>
  <si>
    <t>AVG</t>
  </si>
  <si>
    <t>MEDIAN</t>
  </si>
  <si>
    <t>MIN</t>
  </si>
  <si>
    <t>MAX</t>
  </si>
  <si>
    <t>RANGE</t>
  </si>
  <si>
    <t>QUARTILES</t>
  </si>
  <si>
    <t>FIRST Q</t>
  </si>
  <si>
    <t>THIRD Q</t>
  </si>
  <si>
    <t>DISTINCT COUNT OF PRODUCT</t>
  </si>
  <si>
    <t>LIST OF PRODUCT</t>
  </si>
  <si>
    <t>COUNT OF PRODUCT</t>
  </si>
  <si>
    <t>1.QUICK STATISTICS</t>
  </si>
  <si>
    <t>Unit</t>
  </si>
  <si>
    <t>Q1. Top 10 items</t>
  </si>
  <si>
    <t>Sales by Country (With Formula)</t>
  </si>
  <si>
    <t>Country</t>
  </si>
  <si>
    <t>Row Labels</t>
  </si>
  <si>
    <t>Grand Total</t>
  </si>
  <si>
    <t>Sum of Amount</t>
  </si>
  <si>
    <t>Sum of Units</t>
  </si>
  <si>
    <t xml:space="preserve"> </t>
  </si>
  <si>
    <t>Top 5 products by $ per units</t>
  </si>
  <si>
    <t>Sales per unit</t>
  </si>
  <si>
    <t>Are there any anamolies in the data?</t>
  </si>
  <si>
    <t>Best Sales  person by country</t>
  </si>
  <si>
    <t>Profits by product (using products table)</t>
  </si>
  <si>
    <t xml:space="preserve">$1,651.86 </t>
  </si>
  <si>
    <t>cost per unit</t>
  </si>
  <si>
    <t>cost</t>
  </si>
  <si>
    <t>Count of cost</t>
  </si>
  <si>
    <t>Dynamic country-level sales reports</t>
  </si>
  <si>
    <t>Countries</t>
  </si>
  <si>
    <t>Quick summary</t>
  </si>
  <si>
    <t>Number of transactions</t>
  </si>
  <si>
    <t>Pick a Country</t>
  </si>
  <si>
    <t xml:space="preserve">Total </t>
  </si>
  <si>
    <t>Average</t>
  </si>
  <si>
    <t>Sales</t>
  </si>
  <si>
    <t>Profit</t>
  </si>
  <si>
    <t>Quantity</t>
  </si>
  <si>
    <t>By Sales person</t>
  </si>
  <si>
    <t>✅❎</t>
  </si>
  <si>
    <t>Persons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</si>
</sst>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quot;#,##0_);[Red]\(&quot;$&quot;#,##0\)"/>
    <numFmt numFmtId="165" formatCode="&quot;$&quot;#,##0.00_);[Red]\(&quot;$&quot;#,##0.00\)"/>
    <numFmt numFmtId="166" formatCode="#,##0;[Red]#,##0"/>
    <numFmt numFmtId="167" formatCode="[$$-1409]#,##0;[Red][$$-1409]#,##0"/>
    <numFmt numFmtId="168" formatCode="[$$-1009]#,##0;[Red][$$-1009]#,##0"/>
    <numFmt numFmtId="169" formatCode="[$$-C09]#,##0;[Red][$$-C09]#,##0"/>
    <numFmt numFmtId="170" formatCode="\$#,##0.00;\-\$#,##0.00;\$#,##0.00"/>
    <numFmt numFmtId="171" formatCode="[$$-45C]#,##0.00;[Red][$$-45C]#,##0.00"/>
  </numFmts>
  <fonts count="9" x14ac:knownFonts="1">
    <font>
      <sz val="11"/>
      <color theme="1"/>
      <name val="Calibri"/>
      <family val="2"/>
      <scheme val="minor"/>
    </font>
    <font>
      <sz val="28"/>
      <color theme="1"/>
      <name val="Segoe UI Light"/>
      <family val="2"/>
    </font>
    <font>
      <b/>
      <sz val="11"/>
      <color theme="1"/>
      <name val="Calibri"/>
      <family val="2"/>
      <scheme val="minor"/>
    </font>
    <font>
      <sz val="20"/>
      <color theme="1"/>
      <name val="Calibri"/>
      <family val="2"/>
      <scheme val="minor"/>
    </font>
    <font>
      <b/>
      <sz val="11"/>
      <color theme="0"/>
      <name val="Calibri"/>
      <family val="2"/>
      <scheme val="minor"/>
    </font>
    <font>
      <sz val="8"/>
      <name val="Calibri"/>
      <family val="2"/>
      <scheme val="minor"/>
    </font>
    <font>
      <sz val="11"/>
      <color theme="2" tint="-0.249977111117893"/>
      <name val="Calibri"/>
      <family val="2"/>
      <scheme val="minor"/>
    </font>
    <font>
      <b/>
      <sz val="20"/>
      <color theme="1"/>
      <name val="Calibri"/>
      <family val="2"/>
      <scheme val="minor"/>
    </font>
    <font>
      <sz val="20"/>
      <color theme="1"/>
      <name val="Agency FB"/>
      <family val="2"/>
    </font>
  </fonts>
  <fills count="1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3" tint="0.79998168889431442"/>
        <bgColor indexed="64"/>
      </patternFill>
    </fill>
    <fill>
      <patternFill patternType="solid">
        <fgColor rgb="FFCCFF99"/>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FFC409"/>
        <bgColor indexed="64"/>
      </patternFill>
    </fill>
    <fill>
      <patternFill patternType="solid">
        <fgColor rgb="FFFFC000"/>
        <bgColor indexed="64"/>
      </patternFill>
    </fill>
  </fills>
  <borders count="12">
    <border>
      <left/>
      <right/>
      <top/>
      <bottom/>
      <diagonal/>
    </border>
    <border>
      <left/>
      <right/>
      <top style="dotted">
        <color theme="0" tint="-0.24994659260841701"/>
      </top>
      <bottom style="dotted">
        <color theme="0" tint="-0.2499465926084170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theme="2"/>
      </left>
      <right style="medium">
        <color theme="2"/>
      </right>
      <top style="medium">
        <color theme="2"/>
      </top>
      <bottom style="medium">
        <color theme="2"/>
      </bottom>
      <diagonal/>
    </border>
    <border>
      <left style="thin">
        <color theme="0" tint="-0.24994659260841701"/>
      </left>
      <right style="thin">
        <color theme="0" tint="-0.24994659260841701"/>
      </right>
      <top/>
      <bottom style="thin">
        <color theme="0" tint="-0.24994659260841701"/>
      </bottom>
      <diagonal/>
    </border>
    <border>
      <left style="thick">
        <color theme="2" tint="-0.24994659260841701"/>
      </left>
      <right style="thick">
        <color theme="2" tint="-0.24994659260841701"/>
      </right>
      <top style="thick">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24994659260841701"/>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s>
  <cellStyleXfs count="7">
    <xf numFmtId="0" fontId="0" fillId="0" borderId="0"/>
    <xf numFmtId="0" fontId="2" fillId="10" borderId="0" applyNumberFormat="0" applyFont="0" applyFill="0" applyAlignment="0" applyProtection="0">
      <alignment horizontal="left" vertical="top"/>
    </xf>
    <xf numFmtId="0" fontId="2" fillId="10" borderId="0" applyFont="0" applyFill="0" applyAlignment="0">
      <alignment horizontal="left" vertical="top"/>
    </xf>
    <xf numFmtId="0" fontId="2" fillId="10" borderId="0" applyNumberFormat="0" applyFont="0" applyFill="0" applyBorder="0" applyAlignment="0" applyProtection="0">
      <alignment horizontal="left" vertical="top"/>
    </xf>
    <xf numFmtId="0" fontId="2" fillId="10" borderId="5" applyFont="0" applyFill="0" applyAlignment="0">
      <alignment horizontal="left" vertical="top"/>
    </xf>
    <xf numFmtId="0" fontId="2" fillId="10" borderId="6" applyFont="0" applyFill="0" applyAlignment="0">
      <alignment horizontal="left" vertical="top"/>
    </xf>
    <xf numFmtId="0" fontId="2" fillId="10" borderId="7" applyFont="0" applyFill="0" applyAlignment="0">
      <alignment horizontal="left" vertical="top"/>
    </xf>
  </cellStyleXfs>
  <cellXfs count="74">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64"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3" borderId="0" xfId="0" applyFont="1" applyFill="1"/>
    <xf numFmtId="0" fontId="2" fillId="0" borderId="0" xfId="0" applyFont="1" applyAlignment="1">
      <alignment horizontal="right"/>
    </xf>
    <xf numFmtId="165" fontId="0" fillId="0" borderId="0" xfId="0" applyNumberFormat="1"/>
    <xf numFmtId="0" fontId="0" fillId="0" borderId="0" xfId="0" applyFill="1"/>
    <xf numFmtId="0" fontId="0" fillId="4" borderId="0" xfId="0" applyFill="1"/>
    <xf numFmtId="0" fontId="0" fillId="0" borderId="0" xfId="0" applyNumberFormat="1"/>
    <xf numFmtId="0" fontId="3" fillId="5" borderId="0" xfId="0" applyFont="1" applyFill="1" applyAlignment="1">
      <alignment horizontal="left" vertical="center"/>
    </xf>
    <xf numFmtId="0" fontId="0" fillId="6" borderId="0" xfId="0" applyFill="1"/>
    <xf numFmtId="0" fontId="0" fillId="7" borderId="0" xfId="0" applyFill="1"/>
    <xf numFmtId="0" fontId="0" fillId="0" borderId="2" xfId="0" applyFont="1" applyBorder="1"/>
    <xf numFmtId="0" fontId="0" fillId="9" borderId="3" xfId="0" applyFont="1" applyFill="1" applyBorder="1"/>
    <xf numFmtId="0" fontId="0" fillId="9" borderId="2" xfId="0" applyFont="1" applyFill="1" applyBorder="1"/>
    <xf numFmtId="0" fontId="0" fillId="0" borderId="3" xfId="0" applyFont="1" applyBorder="1"/>
    <xf numFmtId="0" fontId="0" fillId="10" borderId="0" xfId="0" applyFill="1"/>
    <xf numFmtId="0" fontId="0" fillId="5" borderId="0" xfId="0" applyFill="1"/>
    <xf numFmtId="0" fontId="3" fillId="10" borderId="0" xfId="0" applyFont="1" applyFill="1"/>
    <xf numFmtId="0" fontId="3" fillId="10" borderId="0" xfId="0" applyFont="1" applyFill="1" applyAlignment="1">
      <alignment horizontal="left" vertical="center"/>
    </xf>
    <xf numFmtId="0" fontId="4" fillId="8" borderId="3" xfId="0" applyFont="1" applyFill="1" applyBorder="1"/>
    <xf numFmtId="0" fontId="4" fillId="8" borderId="2" xfId="0" applyFont="1" applyFill="1" applyBorder="1"/>
    <xf numFmtId="0" fontId="4" fillId="8" borderId="2" xfId="0" applyFont="1" applyFill="1" applyBorder="1" applyAlignment="1">
      <alignment horizontal="right"/>
    </xf>
    <xf numFmtId="0" fontId="4" fillId="8" borderId="4" xfId="0" applyFont="1" applyFill="1" applyBorder="1" applyAlignment="1">
      <alignment horizontal="right"/>
    </xf>
    <xf numFmtId="164" fontId="0" fillId="0" borderId="2" xfId="0" applyNumberFormat="1" applyFont="1" applyBorder="1"/>
    <xf numFmtId="3" fontId="0" fillId="0" borderId="4" xfId="0" applyNumberFormat="1" applyFont="1" applyBorder="1"/>
    <xf numFmtId="164" fontId="0" fillId="9" borderId="2" xfId="0" applyNumberFormat="1" applyFont="1" applyFill="1" applyBorder="1"/>
    <xf numFmtId="3" fontId="0" fillId="9" borderId="4" xfId="0" applyNumberFormat="1" applyFont="1" applyFill="1" applyBorder="1"/>
    <xf numFmtId="0" fontId="3" fillId="5" borderId="0" xfId="0" applyFont="1" applyFill="1"/>
    <xf numFmtId="0" fontId="3" fillId="10" borderId="0" xfId="0" applyFont="1" applyFill="1" applyAlignment="1">
      <alignment horizontal="left"/>
    </xf>
    <xf numFmtId="0" fontId="0" fillId="0" borderId="8" xfId="0" applyBorder="1"/>
    <xf numFmtId="0" fontId="0" fillId="0" borderId="9" xfId="0" applyBorder="1"/>
    <xf numFmtId="0" fontId="0" fillId="0" borderId="9" xfId="1" applyFont="1" applyFill="1" applyBorder="1" applyAlignment="1"/>
    <xf numFmtId="0" fontId="2" fillId="10" borderId="9" xfId="1" applyFont="1" applyFill="1" applyBorder="1" applyAlignment="1">
      <alignment horizontal="center" vertical="top"/>
    </xf>
    <xf numFmtId="0" fontId="2" fillId="10" borderId="9" xfId="0" applyFont="1" applyFill="1" applyBorder="1" applyAlignment="1">
      <alignment horizontal="center"/>
    </xf>
    <xf numFmtId="166" fontId="6" fillId="0" borderId="9" xfId="0" applyNumberFormat="1" applyFont="1" applyBorder="1"/>
    <xf numFmtId="167" fontId="0" fillId="0" borderId="9" xfId="1" applyNumberFormat="1" applyFont="1" applyFill="1" applyBorder="1" applyAlignmen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0" fontId="0" fillId="0" borderId="0" xfId="0" applyAlignment="1">
      <alignment horizontal="center"/>
    </xf>
    <xf numFmtId="0" fontId="0" fillId="0" borderId="0" xfId="0" pivotButton="1" applyAlignment="1">
      <alignment horizontal="center"/>
    </xf>
    <xf numFmtId="0" fontId="0" fillId="11" borderId="0" xfId="0" applyFill="1"/>
    <xf numFmtId="0" fontId="3" fillId="11" borderId="0" xfId="0" applyFont="1" applyFill="1"/>
    <xf numFmtId="0" fontId="7" fillId="5" borderId="0" xfId="0" applyFont="1" applyFill="1"/>
    <xf numFmtId="170" fontId="0" fillId="0" borderId="0" xfId="0" applyNumberFormat="1"/>
    <xf numFmtId="166" fontId="8" fillId="10" borderId="0" xfId="0" applyNumberFormat="1" applyFont="1" applyFill="1"/>
    <xf numFmtId="0" fontId="0" fillId="0" borderId="0" xfId="0" applyAlignment="1">
      <alignment horizontal="left" indent="1"/>
    </xf>
    <xf numFmtId="165" fontId="2" fillId="0" borderId="0" xfId="0" applyNumberFormat="1" applyFont="1"/>
    <xf numFmtId="171" fontId="2" fillId="0" borderId="0" xfId="0" applyNumberFormat="1" applyFont="1"/>
    <xf numFmtId="0" fontId="0" fillId="14" borderId="0" xfId="0" applyFill="1"/>
    <xf numFmtId="0" fontId="2" fillId="0" borderId="10" xfId="0" applyFont="1" applyBorder="1"/>
    <xf numFmtId="0" fontId="0" fillId="0" borderId="10" xfId="0" applyBorder="1"/>
    <xf numFmtId="0" fontId="0" fillId="12" borderId="10" xfId="0" applyFill="1" applyBorder="1"/>
    <xf numFmtId="0" fontId="0" fillId="0" borderId="10" xfId="0" applyBorder="1" applyAlignment="1">
      <alignment vertical="top"/>
    </xf>
    <xf numFmtId="169" fontId="0" fillId="0" borderId="8" xfId="0" applyNumberFormat="1" applyBorder="1"/>
    <xf numFmtId="166" fontId="0" fillId="0" borderId="8" xfId="0" applyNumberFormat="1" applyBorder="1"/>
    <xf numFmtId="0" fontId="4" fillId="14" borderId="10" xfId="0" applyFont="1" applyFill="1" applyBorder="1"/>
    <xf numFmtId="0" fontId="0" fillId="14" borderId="10" xfId="0" applyFill="1" applyBorder="1"/>
    <xf numFmtId="0" fontId="0" fillId="0" borderId="10" xfId="0" applyFont="1" applyFill="1" applyBorder="1"/>
    <xf numFmtId="164" fontId="0" fillId="0" borderId="10" xfId="0" applyNumberFormat="1" applyFont="1" applyFill="1" applyBorder="1"/>
    <xf numFmtId="3" fontId="0" fillId="0" borderId="10" xfId="0" applyNumberFormat="1" applyFont="1" applyFill="1" applyBorder="1"/>
    <xf numFmtId="0" fontId="0" fillId="0" borderId="10" xfId="0" applyBorder="1" applyAlignment="1">
      <alignment horizontal="center"/>
    </xf>
    <xf numFmtId="0" fontId="3" fillId="5" borderId="0" xfId="0" applyFont="1" applyFill="1" applyAlignment="1">
      <alignment horizontal="left" vertical="center"/>
    </xf>
    <xf numFmtId="0" fontId="2" fillId="10" borderId="9" xfId="1" applyFont="1" applyFill="1" applyBorder="1" applyAlignment="1">
      <alignment horizontal="center" vertical="center"/>
    </xf>
    <xf numFmtId="0" fontId="2" fillId="13" borderId="11" xfId="0" applyFont="1" applyFill="1" applyBorder="1" applyAlignment="1">
      <alignment horizontal="left"/>
    </xf>
    <xf numFmtId="0" fontId="2" fillId="13" borderId="10" xfId="0" applyFont="1" applyFill="1" applyBorder="1" applyAlignment="1">
      <alignment horizontal="left"/>
    </xf>
  </cellXfs>
  <cellStyles count="7">
    <cellStyle name="Normal" xfId="0" builtinId="0"/>
    <cellStyle name="Style 1" xfId="1" xr:uid="{25FDAFA0-17B9-4694-8627-04693E22193E}"/>
    <cellStyle name="Style 2" xfId="2" xr:uid="{B84C9A7D-711A-4BFC-99B4-4A53EACDB3C0}"/>
    <cellStyle name="Style 3" xfId="3" xr:uid="{6FB8AB6A-721E-4723-92EE-E7CF9E1D0EAE}"/>
    <cellStyle name="Style 4" xfId="4" xr:uid="{42405F0F-AC69-4B0C-9E5D-5FCB9A7DB2E1}"/>
    <cellStyle name="Style 5" xfId="5" xr:uid="{47535CB1-D0F9-4D98-A69E-C5905E86F93F}"/>
    <cellStyle name="Style 6" xfId="6" xr:uid="{073927F7-16CB-46E6-B92C-C5F98202DE21}"/>
  </cellStyles>
  <dxfs count="25">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alignment horizontal="center"/>
    </dxf>
    <dxf>
      <alignment horizontal="center"/>
    </dxf>
    <dxf>
      <numFmt numFmtId="169" formatCode="[$$-C09]#,##0;[Red][$$-C09]#,##0"/>
    </dxf>
    <dxf>
      <numFmt numFmtId="168" formatCode="[$$-1009]#,##0;[Red][$$-1009]#,##0"/>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quot;$&quot;#,##0.00_);[Red]\(&quot;$&quot;#,##0.00\)"/>
    </dxf>
    <dxf>
      <numFmt numFmtId="165" formatCode="&quot;$&quot;#,##0.00_);[Red]\(&quot;$&quot;#,##0.00\)"/>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5" formatCode="&quot;$&quot;#,##0.00_);[Red]\(&quot;$&quot;#,##0.00\)"/>
    </dxf>
    <dxf>
      <font>
        <b/>
        <i val="0"/>
      </font>
    </dxf>
    <dxf>
      <font>
        <b val="0"/>
        <i val="0"/>
        <strike val="0"/>
        <color theme="0" tint="-0.24994659260841701"/>
      </font>
    </dxf>
    <dxf>
      <font>
        <b/>
        <i val="0"/>
      </font>
    </dxf>
    <dxf>
      <font>
        <b/>
        <i val="0"/>
      </font>
    </dxf>
    <dxf>
      <font>
        <b val="0"/>
        <i val="0"/>
      </font>
    </dxf>
  </dxfs>
  <tableStyles count="6" defaultTableStyle="TableStyleMedium2" defaultPivotStyle="PivotStyleLight16">
    <tableStyle name="Table Style 1" pivot="0" count="0" xr9:uid="{8FF6A02A-4285-492A-A130-516FD9DBC951}"/>
    <tableStyle name="Table Style 2" pivot="0" count="1" xr9:uid="{B453CA23-472F-412B-AE90-14286487E5EF}">
      <tableStyleElement type="totalRow" dxfId="24"/>
    </tableStyle>
    <tableStyle name="Table Style 3" pivot="0" count="1" xr9:uid="{5E15D2A3-397D-4008-96CC-3E05579AB01B}">
      <tableStyleElement type="totalRow" dxfId="23"/>
    </tableStyle>
    <tableStyle name="Table Style 4" pivot="0" count="1" xr9:uid="{4327BD92-88F9-4F8D-A71E-BBAC6A466357}">
      <tableStyleElement type="wholeTable" dxfId="22"/>
    </tableStyle>
    <tableStyle name="Table Style 5" pivot="0" count="1" xr9:uid="{C21C69BD-F158-43E0-85A7-0753C9FFE4CB}">
      <tableStyleElement type="wholeTable" dxfId="21"/>
    </tableStyle>
    <tableStyle name="Table Style 6" pivot="0" count="1" xr9:uid="{9A7C8217-FD03-43C4-AEA2-0303A7B308D2}">
      <tableStyleElement type="wholeTable" dxfId="20"/>
    </tableStyle>
  </tableStyles>
  <colors>
    <mruColors>
      <color rgb="FFFFC409"/>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649275530411400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004184010550239E-2"/>
          <c:y val="0.14064506074346736"/>
          <c:w val="0.84902036590761676"/>
          <c:h val="0.72732579051770496"/>
        </c:manualLayout>
      </c:layout>
      <c:scatterChart>
        <c:scatterStyle val="lineMarker"/>
        <c:varyColors val="0"/>
        <c:ser>
          <c:idx val="0"/>
          <c:order val="0"/>
          <c:tx>
            <c:strRef>
              <c:f>'D6'!$H$5</c:f>
              <c:strCache>
                <c:ptCount val="1"/>
                <c:pt idx="0">
                  <c:v>Units</c:v>
                </c:pt>
              </c:strCache>
            </c:strRef>
          </c:tx>
          <c:spPr>
            <a:ln w="19050" cap="rnd">
              <a:noFill/>
              <a:round/>
            </a:ln>
            <a:effectLst/>
          </c:spPr>
          <c:marker>
            <c:symbol val="circle"/>
            <c:size val="5"/>
            <c:spPr>
              <a:solidFill>
                <a:schemeClr val="accent1"/>
              </a:solidFill>
              <a:ln w="9525">
                <a:solidFill>
                  <a:schemeClr val="accent1"/>
                </a:solidFill>
              </a:ln>
              <a:effectLst/>
            </c:spPr>
          </c:marker>
          <c:xVal>
            <c:numRef>
              <c:f>'D6'!$G$6:$G$305</c:f>
              <c:numCache>
                <c:formatCode>"$"#,##0_);[Red]\("$"#,##0\)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'D6'!$H$6:$H$305</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F804-4DD6-83F8-20F1DA75412A}"/>
            </c:ext>
          </c:extLst>
        </c:ser>
        <c:dLbls>
          <c:showLegendKey val="0"/>
          <c:showVal val="0"/>
          <c:showCatName val="0"/>
          <c:showSerName val="0"/>
          <c:showPercent val="0"/>
          <c:showBubbleSize val="0"/>
        </c:dLbls>
        <c:axId val="726760144"/>
        <c:axId val="726758896"/>
      </c:scatterChart>
      <c:valAx>
        <c:axId val="7267601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58896"/>
        <c:crosses val="autoZero"/>
        <c:crossBetween val="midCat"/>
      </c:valAx>
      <c:valAx>
        <c:axId val="726758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601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0</xdr:row>
      <xdr:rowOff>152482</xdr:rowOff>
    </xdr:from>
    <xdr:to>
      <xdr:col>10</xdr:col>
      <xdr:colOff>2314878</xdr:colOff>
      <xdr:row>2</xdr:row>
      <xdr:rowOff>1451</xdr:rowOff>
    </xdr:to>
    <xdr:pic>
      <xdr:nvPicPr>
        <xdr:cNvPr id="3" name="Picture 2">
          <a:hlinkClick xmlns:r="http://schemas.openxmlformats.org/officeDocument/2006/relationships" r:id="rId1"/>
          <a:extLst>
            <a:ext uri="{FF2B5EF4-FFF2-40B4-BE49-F238E27FC236}">
              <a16:creationId xmlns:a16="http://schemas.microsoft.com/office/drawing/2014/main" id="{5CBC2403-2B8C-4B60-A7E9-56986356455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7267575" y="152482"/>
          <a:ext cx="2314878" cy="704768"/>
        </a:xfrm>
        <a:prstGeom prst="roundRect">
          <a:avLst>
            <a:gd name="adj" fmla="val 9910"/>
          </a:avLst>
        </a:prstGeom>
        <a:solidFill>
          <a:schemeClr val="bg1"/>
        </a:solidFill>
      </xdr:spPr>
    </xdr:pic>
    <xdr:clientData/>
  </xdr:twoCellAnchor>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121920</xdr:colOff>
      <xdr:row>5</xdr:row>
      <xdr:rowOff>22861</xdr:rowOff>
    </xdr:from>
    <xdr:to>
      <xdr:col>14</xdr:col>
      <xdr:colOff>548640</xdr:colOff>
      <xdr:row>14</xdr:row>
      <xdr:rowOff>121920</xdr:rowOff>
    </xdr:to>
    <mc:AlternateContent xmlns:mc="http://schemas.openxmlformats.org/markup-compatibility/2006" xmlns:a14="http://schemas.microsoft.com/office/drawing/2010/main">
      <mc:Choice Requires="a14">
        <xdr:graphicFrame macro="">
          <xdr:nvGraphicFramePr>
            <xdr:cNvPr id="2" name="Sales Person">
              <a:extLst>
                <a:ext uri="{FF2B5EF4-FFF2-40B4-BE49-F238E27FC236}">
                  <a16:creationId xmlns:a16="http://schemas.microsoft.com/office/drawing/2014/main" id="{AB19C265-C2B2-4C7C-A773-B5DF96D96C53}"/>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5166360" y="1082041"/>
              <a:ext cx="4084320" cy="174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213360</xdr:colOff>
      <xdr:row>6</xdr:row>
      <xdr:rowOff>129540</xdr:rowOff>
    </xdr:from>
    <xdr:to>
      <xdr:col>16</xdr:col>
      <xdr:colOff>601980</xdr:colOff>
      <xdr:row>28</xdr:row>
      <xdr:rowOff>148590</xdr:rowOff>
    </xdr:to>
    <xdr:graphicFrame macro="">
      <xdr:nvGraphicFramePr>
        <xdr:cNvPr id="2" name="Chart 1">
          <a:extLst>
            <a:ext uri="{FF2B5EF4-FFF2-40B4-BE49-F238E27FC236}">
              <a16:creationId xmlns:a16="http://schemas.microsoft.com/office/drawing/2014/main" id="{1AF294F0-5528-4602-8135-865D2E182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426720</xdr:colOff>
      <xdr:row>14</xdr:row>
      <xdr:rowOff>144780</xdr:rowOff>
    </xdr:from>
    <xdr:to>
      <xdr:col>6</xdr:col>
      <xdr:colOff>426720</xdr:colOff>
      <xdr:row>28</xdr:row>
      <xdr:rowOff>51435</xdr:rowOff>
    </xdr:to>
    <mc:AlternateContent xmlns:mc="http://schemas.openxmlformats.org/markup-compatibility/2006" xmlns:a14="http://schemas.microsoft.com/office/drawing/2010/main">
      <mc:Choice Requires="a14">
        <xdr:graphicFrame macro="">
          <xdr:nvGraphicFramePr>
            <xdr:cNvPr id="4" name="Geography">
              <a:extLst>
                <a:ext uri="{FF2B5EF4-FFF2-40B4-BE49-F238E27FC236}">
                  <a16:creationId xmlns:a16="http://schemas.microsoft.com/office/drawing/2014/main" id="{F17447A1-887B-433C-B815-5FE8B8EB52DE}"/>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905000" y="2994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eginner-DA-cour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1"/>
      <sheetName val="2"/>
      <sheetName val="3"/>
      <sheetName val="4"/>
      <sheetName val="5"/>
      <sheetName val="6"/>
      <sheetName val="7"/>
      <sheetName val="8"/>
      <sheetName val="9"/>
      <sheetName val="9 DONE"/>
      <sheetName val="10"/>
      <sheetName val="beginner-DA-cour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KAN KUMARI" refreshedDate="46111.664878703705" createdVersion="7" refreshedVersion="7" minRefreshableVersion="3" recordCount="300" xr:uid="{EA1B3095-B4FF-46B5-A01B-626160FC3624}">
  <cacheSource type="worksheet">
    <worksheetSource name="Table2"/>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164">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s>
  <extLst>
    <ext xmlns:x14="http://schemas.microsoft.com/office/spreadsheetml/2009/9/main" uri="{725AE2AE-9491-48be-B2B4-4EB974FC3084}">
      <x14:pivotCacheDefinition pivotCacheId="4675112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MUSKAN KUMARI" refreshedDate="46111.923237499999" backgroundQuery="1" createdVersion="7" refreshedVersion="7" minRefreshableVersion="3" recordCount="0" supportSubquery="1" supportAdvancedDrill="1" xr:uid="{3B5FDA6B-E7AA-4E6C-ACEB-A64D77E717AD}">
  <cacheSource type="external" connectionId="1"/>
  <cacheFields count="2">
    <cacheField name="[Table2].[Product].[Product]" caption="Product" numFmtId="0" hierarchy="4" level="1">
      <sharedItems count="5">
        <s v="85% Dark Bars"/>
        <s v="After Nines"/>
        <s v="Baker's Choco Chips"/>
        <s v="Peanut Butter Cubes"/>
        <s v="Raspberry Choco"/>
      </sharedItems>
    </cacheField>
    <cacheField name="[Measures].[Sales per unit]" caption="Sales per unit" numFmtId="0" hierarchy="9" level="32767"/>
  </cacheFields>
  <cacheHierarchies count="16">
    <cacheHierarchy uniqueName="[products].[Product]" caption="Product" attribute="1" defaultMemberUniqueName="[products].[Product].[All]" allUniqueName="[products].[Produc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Table2].[Sales Person]" caption="Sales Person" attribute="1" defaultMemberUniqueName="[Table2].[Sales Person].[All]" allUniqueName="[Table2].[Sales Person].[All]" dimensionUniqueName="[Table2]" displayFolder="" count="0" memberValueDatatype="130" unbalanced="0"/>
    <cacheHierarchy uniqueName="[Table2].[Geography]" caption="Geography" attribute="1" defaultMemberUniqueName="[Table2].[Geography].[All]" allUniqueName="[Table2].[Geography].[All]" dimensionUniqueName="[Table2]" displayFolder="" count="0" memberValueDatatype="130" unbalanced="0"/>
    <cacheHierarchy uniqueName="[Table2].[Product]" caption="Product" attribute="1" defaultMemberUniqueName="[Table2].[Product].[All]" allUniqueName="[Table2].[Product].[All]" dimensionUniqueName="[Table2]" displayFolder="" count="2" memberValueDatatype="130" unbalanced="0">
      <fieldsUsage count="2">
        <fieldUsage x="-1"/>
        <fieldUsage x="0"/>
      </fieldsUsage>
    </cacheHierarchy>
    <cacheHierarchy uniqueName="[Table2].[Amount]" caption="Amount" attribute="1" defaultMemberUniqueName="[Table2].[Amount].[All]" allUniqueName="[Table2].[Amount].[All]" dimensionUniqueName="[Table2]" displayFolder="" count="0" memberValueDatatype="20" unbalanced="0"/>
    <cacheHierarchy uniqueName="[Table2].[Units]" caption="Units" attribute="1" defaultMemberUniqueName="[Table2].[Units].[All]" allUniqueName="[Table2].[Units].[All]" dimensionUniqueName="[Table2]" displayFolder="" count="0" memberValueDatatype="20" unbalanced="0"/>
    <cacheHierarchy uniqueName="[Table2].[cost per unit]" caption="cost per unit" attribute="1" defaultMemberUniqueName="[Table2].[cost per unit].[All]" allUniqueName="[Table2].[cost per unit].[All]" dimensionUniqueName="[Table2]" displayFolder="" count="0" memberValueDatatype="5" unbalanced="0"/>
    <cacheHierarchy uniqueName="[Table2].[cost]" caption="cost" attribute="1" defaultMemberUniqueName="[Table2].[cost].[All]" allUniqueName="[Table2].[cost].[All]" dimensionUniqueName="[Table2]" displayFolder="" count="0" memberValueDatatype="130" unbalanced="0"/>
    <cacheHierarchy uniqueName="[Measures].[Sales per unit]" caption="Sales per unit" measure="1" displayFolder="" measureGroup="Table2" count="0" oneField="1">
      <fieldsUsage count="1">
        <fieldUsage x="1"/>
      </fieldsUsage>
    </cacheHierarchy>
    <cacheHierarchy uniqueName="[Measures].[__XL_Count products]" caption="__XL_Count products" measure="1" displayFolder="" measureGroup="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Amount]" caption="Sum of Amount" measure="1" displayFolder="" measureGroup="Table2" count="0" hidden="1">
      <extLst>
        <ext xmlns:x15="http://schemas.microsoft.com/office/spreadsheetml/2010/11/main" uri="{B97F6D7D-B522-45F9-BDA1-12C45D357490}">
          <x15:cacheHierarchy aggregatedColumn="5"/>
        </ext>
      </extLst>
    </cacheHierarchy>
    <cacheHierarchy uniqueName="[Measures].[Sum of Units]" caption="Sum of Units" measure="1" displayFolder="" measureGroup="Table2" count="0" hidden="1">
      <extLst>
        <ext xmlns:x15="http://schemas.microsoft.com/office/spreadsheetml/2010/11/main" uri="{B97F6D7D-B522-45F9-BDA1-12C45D357490}">
          <x15:cacheHierarchy aggregatedColumn="6"/>
        </ext>
      </extLst>
    </cacheHierarchy>
    <cacheHierarchy uniqueName="[Measures].[Count of cost]" caption="Count of cost" measure="1" displayFolder="" measureGroup="Table2"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products" uniqueName="[products]" caption="products"/>
    <dimension name="Table2" uniqueName="[Table2]" caption="Table2"/>
  </dimensions>
  <measureGroups count="2">
    <measureGroup name="products" caption="products"/>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KUMARI" refreshedDate="46111.932220486109" backgroundQuery="1" createdVersion="7" refreshedVersion="7" minRefreshableVersion="3" recordCount="0" supportSubquery="1" supportAdvancedDrill="1" xr:uid="{57DFF406-7302-4C44-AD87-562B8A95024A}">
  <cacheSource type="external" connectionId="1"/>
  <cacheFields count="4">
    <cacheField name="[Measures].[Sum of Amount]" caption="Sum of Amount" numFmtId="0" hierarchy="13" level="32767"/>
    <cacheField name="[Measures].[Count of cost]" caption="Count of cost" numFmtId="0" hierarchy="15" level="32767"/>
    <cacheField name="[Table2].[Product].[Product]" caption="Product" numFmtId="0" hierarchy="4" level="1">
      <sharedItems count="20">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ganic Choco Syrup"/>
        <s v="Peanut Butter Cubes"/>
        <s v="Smooth Sliky Salty"/>
        <s v="Spicy Special Slims"/>
        <s v="White Choc"/>
      </sharedItems>
    </cacheField>
    <cacheField name="[Table2].[Geography].[Geography]" caption="Geography" numFmtId="0" hierarchy="3" level="1">
      <sharedItems containsSemiMixedTypes="0" containsNonDate="0" containsString="0"/>
    </cacheField>
  </cacheFields>
  <cacheHierarchies count="16">
    <cacheHierarchy uniqueName="[products].[Product]" caption="Product" attribute="1" defaultMemberUniqueName="[products].[Product].[All]" allUniqueName="[products].[Product].[All]" dimensionUniqueName="[products]" displayFolder="" count="2" memberValueDatatype="130" unbalanced="0"/>
    <cacheHierarchy uniqueName="[products].[Cost per unit]" caption="Cost per unit" attribute="1" defaultMemberUniqueName="[products].[Cost per unit].[All]" allUniqueName="[products].[Cost per unit].[All]" dimensionUniqueName="[products]" displayFolder="" count="2" memberValueDatatype="5" unbalanced="0"/>
    <cacheHierarchy uniqueName="[Table2].[Sales Person]" caption="Sales Person" attribute="1" defaultMemberUniqueName="[Table2].[Sales Person].[All]" allUniqueName="[Table2].[Sales Person].[All]" dimensionUniqueName="[Table2]" displayFolder="" count="2" memberValueDatatype="130" unbalanced="0"/>
    <cacheHierarchy uniqueName="[Table2].[Geography]" caption="Geography" attribute="1" defaultMemberUniqueName="[Table2].[Geography].[All]" allUniqueName="[Table2].[Geography].[All]" dimensionUniqueName="[Table2]" displayFolder="" count="2" memberValueDatatype="130" unbalanced="0">
      <fieldsUsage count="2">
        <fieldUsage x="-1"/>
        <fieldUsage x="3"/>
      </fieldsUsage>
    </cacheHierarchy>
    <cacheHierarchy uniqueName="[Table2].[Product]" caption="Product" attribute="1" defaultMemberUniqueName="[Table2].[Product].[All]" allUniqueName="[Table2].[Product].[All]" dimensionUniqueName="[Table2]" displayFolder="" count="2" memberValueDatatype="130" unbalanced="0">
      <fieldsUsage count="2">
        <fieldUsage x="-1"/>
        <fieldUsage x="2"/>
      </fieldsUsage>
    </cacheHierarchy>
    <cacheHierarchy uniqueName="[Table2].[Amount]" caption="Amount" attribute="1" defaultMemberUniqueName="[Table2].[Amount].[All]" allUniqueName="[Table2].[Amount].[All]" dimensionUniqueName="[Table2]" displayFolder="" count="2" memberValueDatatype="20" unbalanced="0"/>
    <cacheHierarchy uniqueName="[Table2].[Units]" caption="Units" attribute="1" defaultMemberUniqueName="[Table2].[Units].[All]" allUniqueName="[Table2].[Units].[All]" dimensionUniqueName="[Table2]" displayFolder="" count="2" memberValueDatatype="20" unbalanced="0"/>
    <cacheHierarchy uniqueName="[Table2].[cost per unit]" caption="cost per unit" attribute="1" defaultMemberUniqueName="[Table2].[cost per unit].[All]" allUniqueName="[Table2].[cost per unit].[All]" dimensionUniqueName="[Table2]" displayFolder="" count="2" memberValueDatatype="5" unbalanced="0"/>
    <cacheHierarchy uniqueName="[Table2].[cost]" caption="cost" attribute="1" defaultMemberUniqueName="[Table2].[cost].[All]" allUniqueName="[Table2].[cost].[All]" dimensionUniqueName="[Table2]" displayFolder="" count="2" memberValueDatatype="130" unbalanced="0"/>
    <cacheHierarchy uniqueName="[Measures].[Sales per unit]" caption="Sales per unit" measure="1" displayFolder="" measureGroup="Table2" count="0"/>
    <cacheHierarchy uniqueName="[Measures].[__XL_Count products]" caption="__XL_Count products" measure="1" displayFolder="" measureGroup="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Amount]" caption="Sum of Amount" measure="1" displayFolder="" measureGroup="Table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Units]" caption="Sum of Units" measure="1" displayFolder="" measureGroup="Table2" count="0" hidden="1">
      <extLst>
        <ext xmlns:x15="http://schemas.microsoft.com/office/spreadsheetml/2010/11/main" uri="{B97F6D7D-B522-45F9-BDA1-12C45D357490}">
          <x15:cacheHierarchy aggregatedColumn="6"/>
        </ext>
      </extLst>
    </cacheHierarchy>
    <cacheHierarchy uniqueName="[Measures].[Count of cost]" caption="Count of cost"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products" uniqueName="[products]" caption="products"/>
    <dimension name="Table2" uniqueName="[Table2]" caption="Table2"/>
  </dimensions>
  <measureGroups count="2">
    <measureGroup name="products" caption="products"/>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KUMARI" refreshedDate="46111.932018518521" backgroundQuery="1" createdVersion="3" refreshedVersion="7" minRefreshableVersion="3" recordCount="0" supportSubquery="1" supportAdvancedDrill="1" xr:uid="{A38ECADC-36FA-4446-A7AB-056C0ECAD64A}">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products].[Product]" caption="Product" attribute="1" defaultMemberUniqueName="[products].[Product].[All]" allUniqueName="[products].[Produc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Table2].[Sales Person]" caption="Sales Person" attribute="1" defaultMemberUniqueName="[Table2].[Sales Person].[All]" allUniqueName="[Table2].[Sales Person].[All]" dimensionUniqueName="[Table2]" displayFolder="" count="0" memberValueDatatype="130" unbalanced="0"/>
    <cacheHierarchy uniqueName="[Table2].[Geography]" caption="Geography" attribute="1" defaultMemberUniqueName="[Table2].[Geography].[All]" allUniqueName="[Table2].[Geography].[All]" dimensionUniqueName="[Table2]" displayFolder="" count="2"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Amount]" caption="Amount" attribute="1" defaultMemberUniqueName="[Table2].[Amount].[All]" allUniqueName="[Table2].[Amount].[All]" dimensionUniqueName="[Table2]" displayFolder="" count="0" memberValueDatatype="20" unbalanced="0"/>
    <cacheHierarchy uniqueName="[Table2].[Units]" caption="Units" attribute="1" defaultMemberUniqueName="[Table2].[Units].[All]" allUniqueName="[Table2].[Units].[All]" dimensionUniqueName="[Table2]" displayFolder="" count="0" memberValueDatatype="20" unbalanced="0"/>
    <cacheHierarchy uniqueName="[Table2].[cost per unit]" caption="cost per unit" attribute="1" defaultMemberUniqueName="[Table2].[cost per unit].[All]" allUniqueName="[Table2].[cost per unit].[All]" dimensionUniqueName="[Table2]" displayFolder="" count="0" memberValueDatatype="5" unbalanced="0"/>
    <cacheHierarchy uniqueName="[Table2].[cost]" caption="cost" attribute="1" defaultMemberUniqueName="[Table2].[cost].[All]" allUniqueName="[Table2].[cost].[All]" dimensionUniqueName="[Table2]" displayFolder="" count="0" memberValueDatatype="130" unbalanced="0"/>
    <cacheHierarchy uniqueName="[Measures].[Sales per unit]" caption="Sales per unit" measure="1" displayFolder="" measureGroup="Table2" count="0"/>
    <cacheHierarchy uniqueName="[Measures].[__XL_Count products]" caption="__XL_Count products" measure="1" displayFolder="" measureGroup="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Amount]" caption="Sum of Amount" measure="1" displayFolder="" measureGroup="Table2" count="0" hidden="1">
      <extLst>
        <ext xmlns:x15="http://schemas.microsoft.com/office/spreadsheetml/2010/11/main" uri="{B97F6D7D-B522-45F9-BDA1-12C45D357490}">
          <x15:cacheHierarchy aggregatedColumn="5"/>
        </ext>
      </extLst>
    </cacheHierarchy>
    <cacheHierarchy uniqueName="[Measures].[Sum of Units]" caption="Sum of Units" measure="1" displayFolder="" measureGroup="Table2" count="0" hidden="1">
      <extLst>
        <ext xmlns:x15="http://schemas.microsoft.com/office/spreadsheetml/2010/11/main" uri="{B97F6D7D-B522-45F9-BDA1-12C45D357490}">
          <x15:cacheHierarchy aggregatedColumn="6"/>
        </ext>
      </extLst>
    </cacheHierarchy>
    <cacheHierarchy uniqueName="[Measures].[Count of cost]" caption="Count of cost" measure="1" displayFolder="" measureGroup="Table2"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28423238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70% Dark Bites"/>
    <n v="1624"/>
    <n v="114"/>
  </r>
  <r>
    <x v="1"/>
    <x v="1"/>
    <s v="Choco Coated Almonds"/>
    <n v="6706"/>
    <n v="459"/>
  </r>
  <r>
    <x v="2"/>
    <x v="1"/>
    <s v="Almond Choco"/>
    <n v="959"/>
    <n v="147"/>
  </r>
  <r>
    <x v="3"/>
    <x v="2"/>
    <s v="Drinking Coco"/>
    <n v="9632"/>
    <n v="288"/>
  </r>
  <r>
    <x v="4"/>
    <x v="3"/>
    <s v="White Choc"/>
    <n v="2100"/>
    <n v="414"/>
  </r>
  <r>
    <x v="0"/>
    <x v="1"/>
    <s v="Peanut Butter Cubes"/>
    <n v="8869"/>
    <n v="432"/>
  </r>
  <r>
    <x v="4"/>
    <x v="4"/>
    <s v="Smooth Sliky Salty"/>
    <n v="2681"/>
    <n v="54"/>
  </r>
  <r>
    <x v="1"/>
    <x v="1"/>
    <s v="After Nines"/>
    <n v="5012"/>
    <n v="210"/>
  </r>
  <r>
    <x v="5"/>
    <x v="4"/>
    <s v="50% Dark Bites"/>
    <n v="1281"/>
    <n v="75"/>
  </r>
  <r>
    <x v="6"/>
    <x v="0"/>
    <s v="50% Dark Bites"/>
    <n v="4991"/>
    <n v="12"/>
  </r>
  <r>
    <x v="7"/>
    <x v="3"/>
    <s v="White Choc"/>
    <n v="1785"/>
    <n v="462"/>
  </r>
  <r>
    <x v="8"/>
    <x v="0"/>
    <s v="Eclairs"/>
    <n v="3983"/>
    <n v="144"/>
  </r>
  <r>
    <x v="2"/>
    <x v="4"/>
    <s v="Mint Chip Choco"/>
    <n v="2646"/>
    <n v="120"/>
  </r>
  <r>
    <x v="7"/>
    <x v="5"/>
    <s v="Milk Bars"/>
    <n v="252"/>
    <n v="54"/>
  </r>
  <r>
    <x v="8"/>
    <x v="1"/>
    <s v="White Choc"/>
    <n v="2464"/>
    <n v="234"/>
  </r>
  <r>
    <x v="8"/>
    <x v="1"/>
    <s v="Manuka Honey Choco"/>
    <n v="2114"/>
    <n v="66"/>
  </r>
  <r>
    <x v="4"/>
    <x v="0"/>
    <s v="Smooth Sliky Salty"/>
    <n v="7693"/>
    <n v="87"/>
  </r>
  <r>
    <x v="6"/>
    <x v="5"/>
    <s v="Orange Choco"/>
    <n v="15610"/>
    <n v="339"/>
  </r>
  <r>
    <x v="3"/>
    <x v="5"/>
    <s v="After Nines"/>
    <n v="336"/>
    <n v="144"/>
  </r>
  <r>
    <x v="7"/>
    <x v="3"/>
    <s v="Orange Choco"/>
    <n v="9443"/>
    <n v="162"/>
  </r>
  <r>
    <x v="2"/>
    <x v="5"/>
    <s v="Fruit &amp; Nut Bars"/>
    <n v="8155"/>
    <n v="90"/>
  </r>
  <r>
    <x v="1"/>
    <x v="4"/>
    <s v="Fruit &amp; Nut Bars"/>
    <n v="1701"/>
    <n v="234"/>
  </r>
  <r>
    <x v="9"/>
    <x v="4"/>
    <s v="After Nines"/>
    <n v="2205"/>
    <n v="141"/>
  </r>
  <r>
    <x v="1"/>
    <x v="0"/>
    <s v="99% Dark &amp; Pure"/>
    <n v="1771"/>
    <n v="204"/>
  </r>
  <r>
    <x v="3"/>
    <x v="1"/>
    <s v="Raspberry Choco"/>
    <n v="2114"/>
    <n v="186"/>
  </r>
  <r>
    <x v="3"/>
    <x v="2"/>
    <s v="Milk Bars"/>
    <n v="10311"/>
    <n v="231"/>
  </r>
  <r>
    <x v="8"/>
    <x v="3"/>
    <s v="Mint Chip Choco"/>
    <n v="21"/>
    <n v="168"/>
  </r>
  <r>
    <x v="9"/>
    <x v="1"/>
    <s v="Orange Choco"/>
    <n v="1974"/>
    <n v="195"/>
  </r>
  <r>
    <x v="6"/>
    <x v="2"/>
    <s v="Fruit &amp; Nut Bars"/>
    <n v="6314"/>
    <n v="15"/>
  </r>
  <r>
    <x v="9"/>
    <x v="0"/>
    <s v="Fruit &amp; Nut Bars"/>
    <n v="4683"/>
    <n v="30"/>
  </r>
  <r>
    <x v="3"/>
    <x v="0"/>
    <s v="85% Dark Bars"/>
    <n v="6398"/>
    <n v="102"/>
  </r>
  <r>
    <x v="7"/>
    <x v="1"/>
    <s v="99% Dark &amp; Pure"/>
    <n v="553"/>
    <n v="15"/>
  </r>
  <r>
    <x v="1"/>
    <x v="3"/>
    <s v="70% Dark Bites"/>
    <n v="7021"/>
    <n v="183"/>
  </r>
  <r>
    <x v="0"/>
    <x v="3"/>
    <s v="After Nines"/>
    <n v="5817"/>
    <n v="12"/>
  </r>
  <r>
    <x v="3"/>
    <x v="3"/>
    <s v="50% Dark Bites"/>
    <n v="3976"/>
    <n v="72"/>
  </r>
  <r>
    <x v="4"/>
    <x v="4"/>
    <s v="Organic Choco Syrup"/>
    <n v="1134"/>
    <n v="282"/>
  </r>
  <r>
    <x v="7"/>
    <x v="3"/>
    <s v="Caramel Stuffed Bars"/>
    <n v="6027"/>
    <n v="144"/>
  </r>
  <r>
    <x v="4"/>
    <x v="0"/>
    <s v="Mint Chip Choco"/>
    <n v="1904"/>
    <n v="405"/>
  </r>
  <r>
    <x v="5"/>
    <x v="5"/>
    <s v="Choco Coated Almonds"/>
    <n v="3262"/>
    <n v="75"/>
  </r>
  <r>
    <x v="0"/>
    <x v="5"/>
    <s v="Organic Choco Syrup"/>
    <n v="2289"/>
    <n v="135"/>
  </r>
  <r>
    <x v="6"/>
    <x v="5"/>
    <s v="Organic Choco Syrup"/>
    <n v="6986"/>
    <n v="21"/>
  </r>
  <r>
    <x v="7"/>
    <x v="4"/>
    <s v="Fruit &amp; Nut Bars"/>
    <n v="4417"/>
    <n v="153"/>
  </r>
  <r>
    <x v="4"/>
    <x v="5"/>
    <s v="Raspberry Choco"/>
    <n v="1442"/>
    <n v="15"/>
  </r>
  <r>
    <x v="8"/>
    <x v="1"/>
    <s v="50% Dark Bites"/>
    <n v="2415"/>
    <n v="255"/>
  </r>
  <r>
    <x v="7"/>
    <x v="0"/>
    <s v="99% Dark &amp; Pure"/>
    <n v="238"/>
    <n v="18"/>
  </r>
  <r>
    <x v="4"/>
    <x v="0"/>
    <s v="Fruit &amp; Nut Bars"/>
    <n v="4949"/>
    <n v="189"/>
  </r>
  <r>
    <x v="6"/>
    <x v="4"/>
    <s v="Choco Coated Almonds"/>
    <n v="5075"/>
    <n v="21"/>
  </r>
  <r>
    <x v="8"/>
    <x v="2"/>
    <s v="Mint Chip Choco"/>
    <n v="9198"/>
    <n v="36"/>
  </r>
  <r>
    <x v="4"/>
    <x v="5"/>
    <s v="Manuka Honey Choco"/>
    <n v="3339"/>
    <n v="75"/>
  </r>
  <r>
    <x v="0"/>
    <x v="5"/>
    <s v="Eclairs"/>
    <n v="5019"/>
    <n v="156"/>
  </r>
  <r>
    <x v="6"/>
    <x v="2"/>
    <s v="Mint Chip Choco"/>
    <n v="16184"/>
    <n v="39"/>
  </r>
  <r>
    <x v="4"/>
    <x v="2"/>
    <s v="Spicy Special Slims"/>
    <n v="497"/>
    <n v="63"/>
  </r>
  <r>
    <x v="7"/>
    <x v="2"/>
    <s v="Manuka Honey Choco"/>
    <n v="8211"/>
    <n v="75"/>
  </r>
  <r>
    <x v="7"/>
    <x v="4"/>
    <s v="Caramel Stuffed Bars"/>
    <n v="6580"/>
    <n v="183"/>
  </r>
  <r>
    <x v="3"/>
    <x v="1"/>
    <s v="Milk Bars"/>
    <n v="4760"/>
    <n v="69"/>
  </r>
  <r>
    <x v="0"/>
    <x v="2"/>
    <s v="White Choc"/>
    <n v="5439"/>
    <n v="30"/>
  </r>
  <r>
    <x v="3"/>
    <x v="5"/>
    <s v="Eclairs"/>
    <n v="1463"/>
    <n v="39"/>
  </r>
  <r>
    <x v="8"/>
    <x v="5"/>
    <s v="Choco Coated Almonds"/>
    <n v="7777"/>
    <n v="504"/>
  </r>
  <r>
    <x v="2"/>
    <x v="0"/>
    <s v="Manuka Honey Choco"/>
    <n v="1085"/>
    <n v="273"/>
  </r>
  <r>
    <x v="6"/>
    <x v="0"/>
    <s v="Smooth Sliky Salty"/>
    <n v="182"/>
    <n v="48"/>
  </r>
  <r>
    <x v="4"/>
    <x v="5"/>
    <s v="Organic Choco Syrup"/>
    <n v="4242"/>
    <n v="207"/>
  </r>
  <r>
    <x v="4"/>
    <x v="2"/>
    <s v="Choco Coated Almonds"/>
    <n v="6118"/>
    <n v="9"/>
  </r>
  <r>
    <x v="9"/>
    <x v="2"/>
    <s v="Fruit &amp; Nut Bars"/>
    <n v="2317"/>
    <n v="261"/>
  </r>
  <r>
    <x v="4"/>
    <x v="4"/>
    <s v="Mint Chip Choco"/>
    <n v="938"/>
    <n v="6"/>
  </r>
  <r>
    <x v="1"/>
    <x v="0"/>
    <s v="Raspberry Choco"/>
    <n v="9709"/>
    <n v="30"/>
  </r>
  <r>
    <x v="5"/>
    <x v="5"/>
    <s v="Orange Choco"/>
    <n v="2205"/>
    <n v="138"/>
  </r>
  <r>
    <x v="5"/>
    <x v="0"/>
    <s v="Eclairs"/>
    <n v="4487"/>
    <n v="111"/>
  </r>
  <r>
    <x v="6"/>
    <x v="1"/>
    <s v="Drinking Coco"/>
    <n v="2415"/>
    <n v="15"/>
  </r>
  <r>
    <x v="0"/>
    <x v="5"/>
    <s v="99% Dark &amp; Pure"/>
    <n v="4018"/>
    <n v="162"/>
  </r>
  <r>
    <x v="6"/>
    <x v="5"/>
    <s v="99% Dark &amp; Pure"/>
    <n v="861"/>
    <n v="195"/>
  </r>
  <r>
    <x v="9"/>
    <x v="4"/>
    <s v="50% Dark Bites"/>
    <n v="5586"/>
    <n v="525"/>
  </r>
  <r>
    <x v="5"/>
    <x v="5"/>
    <s v="Peanut Butter Cubes"/>
    <n v="2226"/>
    <n v="48"/>
  </r>
  <r>
    <x v="2"/>
    <x v="5"/>
    <s v="Caramel Stuffed Bars"/>
    <n v="14329"/>
    <n v="150"/>
  </r>
  <r>
    <x v="2"/>
    <x v="5"/>
    <s v="Orange Choco"/>
    <n v="8463"/>
    <n v="492"/>
  </r>
  <r>
    <x v="6"/>
    <x v="5"/>
    <s v="Manuka Honey Choco"/>
    <n v="2891"/>
    <n v="102"/>
  </r>
  <r>
    <x v="8"/>
    <x v="2"/>
    <s v="Fruit &amp; Nut Bars"/>
    <n v="3773"/>
    <n v="165"/>
  </r>
  <r>
    <x v="3"/>
    <x v="2"/>
    <s v="Caramel Stuffed Bars"/>
    <n v="854"/>
    <n v="309"/>
  </r>
  <r>
    <x v="4"/>
    <x v="2"/>
    <s v="Eclairs"/>
    <n v="4970"/>
    <n v="156"/>
  </r>
  <r>
    <x v="2"/>
    <x v="1"/>
    <s v="Baker's Choco Chips"/>
    <n v="98"/>
    <n v="159"/>
  </r>
  <r>
    <x v="6"/>
    <x v="1"/>
    <s v="Raspberry Choco"/>
    <n v="13391"/>
    <n v="201"/>
  </r>
  <r>
    <x v="1"/>
    <x v="3"/>
    <s v="Smooth Sliky Salty"/>
    <n v="8890"/>
    <n v="210"/>
  </r>
  <r>
    <x v="7"/>
    <x v="4"/>
    <s v="Milk Bars"/>
    <n v="56"/>
    <n v="51"/>
  </r>
  <r>
    <x v="8"/>
    <x v="2"/>
    <s v="White Choc"/>
    <n v="3339"/>
    <n v="39"/>
  </r>
  <r>
    <x v="9"/>
    <x v="1"/>
    <s v="Drinking Coco"/>
    <n v="3808"/>
    <n v="279"/>
  </r>
  <r>
    <x v="9"/>
    <x v="4"/>
    <s v="Milk Bars"/>
    <n v="63"/>
    <n v="123"/>
  </r>
  <r>
    <x v="7"/>
    <x v="3"/>
    <s v="Organic Choco Syrup"/>
    <n v="7812"/>
    <n v="81"/>
  </r>
  <r>
    <x v="0"/>
    <x v="0"/>
    <s v="99% Dark &amp; Pure"/>
    <n v="7693"/>
    <n v="21"/>
  </r>
  <r>
    <x v="8"/>
    <x v="2"/>
    <s v="Caramel Stuffed Bars"/>
    <n v="973"/>
    <n v="162"/>
  </r>
  <r>
    <x v="9"/>
    <x v="1"/>
    <s v="Spicy Special Slims"/>
    <n v="567"/>
    <n v="228"/>
  </r>
  <r>
    <x v="9"/>
    <x v="2"/>
    <s v="Manuka Honey Choco"/>
    <n v="2471"/>
    <n v="342"/>
  </r>
  <r>
    <x v="6"/>
    <x v="4"/>
    <s v="Milk Bars"/>
    <n v="7189"/>
    <n v="54"/>
  </r>
  <r>
    <x v="3"/>
    <x v="1"/>
    <s v="Caramel Stuffed Bars"/>
    <n v="7455"/>
    <n v="216"/>
  </r>
  <r>
    <x v="8"/>
    <x v="5"/>
    <s v="Baker's Choco Chips"/>
    <n v="3108"/>
    <n v="54"/>
  </r>
  <r>
    <x v="4"/>
    <x v="4"/>
    <s v="White Choc"/>
    <n v="469"/>
    <n v="75"/>
  </r>
  <r>
    <x v="2"/>
    <x v="0"/>
    <s v="Fruit &amp; Nut Bars"/>
    <n v="2737"/>
    <n v="93"/>
  </r>
  <r>
    <x v="2"/>
    <x v="0"/>
    <s v="White Choc"/>
    <n v="4305"/>
    <n v="156"/>
  </r>
  <r>
    <x v="2"/>
    <x v="4"/>
    <s v="Eclairs"/>
    <n v="2408"/>
    <n v="9"/>
  </r>
  <r>
    <x v="8"/>
    <x v="2"/>
    <s v="99% Dark &amp; Pure"/>
    <n v="1281"/>
    <n v="18"/>
  </r>
  <r>
    <x v="0"/>
    <x v="1"/>
    <s v="Choco Coated Almonds"/>
    <n v="12348"/>
    <n v="234"/>
  </r>
  <r>
    <x v="8"/>
    <x v="5"/>
    <s v="Caramel Stuffed Bars"/>
    <n v="3689"/>
    <n v="312"/>
  </r>
  <r>
    <x v="5"/>
    <x v="2"/>
    <s v="99% Dark &amp; Pure"/>
    <n v="2870"/>
    <n v="300"/>
  </r>
  <r>
    <x v="7"/>
    <x v="2"/>
    <s v="Organic Choco Syrup"/>
    <n v="798"/>
    <n v="519"/>
  </r>
  <r>
    <x v="3"/>
    <x v="0"/>
    <s v="Spicy Special Slims"/>
    <n v="2933"/>
    <n v="9"/>
  </r>
  <r>
    <x v="6"/>
    <x v="1"/>
    <s v="Almond Choco"/>
    <n v="2744"/>
    <n v="9"/>
  </r>
  <r>
    <x v="0"/>
    <x v="2"/>
    <s v="Peanut Butter Cubes"/>
    <n v="9772"/>
    <n v="90"/>
  </r>
  <r>
    <x v="5"/>
    <x v="5"/>
    <s v="White Choc"/>
    <n v="1568"/>
    <n v="96"/>
  </r>
  <r>
    <x v="7"/>
    <x v="2"/>
    <s v="Mint Chip Choco"/>
    <n v="11417"/>
    <n v="21"/>
  </r>
  <r>
    <x v="0"/>
    <x v="5"/>
    <s v="Baker's Choco Chips"/>
    <n v="6748"/>
    <n v="48"/>
  </r>
  <r>
    <x v="9"/>
    <x v="2"/>
    <s v="Organic Choco Syrup"/>
    <n v="1407"/>
    <n v="72"/>
  </r>
  <r>
    <x v="1"/>
    <x v="1"/>
    <s v="Manuka Honey Choco"/>
    <n v="2023"/>
    <n v="168"/>
  </r>
  <r>
    <x v="6"/>
    <x v="3"/>
    <s v="Baker's Choco Chips"/>
    <n v="5236"/>
    <n v="51"/>
  </r>
  <r>
    <x v="3"/>
    <x v="2"/>
    <s v="99% Dark &amp; Pure"/>
    <n v="1925"/>
    <n v="192"/>
  </r>
  <r>
    <x v="5"/>
    <x v="0"/>
    <s v="50% Dark Bites"/>
    <n v="6608"/>
    <n v="225"/>
  </r>
  <r>
    <x v="4"/>
    <x v="5"/>
    <s v="Baker's Choco Chips"/>
    <n v="8008"/>
    <n v="456"/>
  </r>
  <r>
    <x v="9"/>
    <x v="5"/>
    <s v="White Choc"/>
    <n v="1428"/>
    <n v="93"/>
  </r>
  <r>
    <x v="4"/>
    <x v="5"/>
    <s v="Almond Choco"/>
    <n v="525"/>
    <n v="48"/>
  </r>
  <r>
    <x v="4"/>
    <x v="0"/>
    <s v="Drinking Coco"/>
    <n v="1505"/>
    <n v="102"/>
  </r>
  <r>
    <x v="5"/>
    <x v="1"/>
    <s v="70% Dark Bites"/>
    <n v="6755"/>
    <n v="252"/>
  </r>
  <r>
    <x v="7"/>
    <x v="0"/>
    <s v="Drinking Coco"/>
    <n v="11571"/>
    <n v="138"/>
  </r>
  <r>
    <x v="0"/>
    <x v="4"/>
    <s v="White Choc"/>
    <n v="2541"/>
    <n v="90"/>
  </r>
  <r>
    <x v="3"/>
    <x v="0"/>
    <s v="70% Dark Bites"/>
    <n v="1526"/>
    <n v="240"/>
  </r>
  <r>
    <x v="0"/>
    <x v="4"/>
    <s v="Almond Choco"/>
    <n v="6125"/>
    <n v="102"/>
  </r>
  <r>
    <x v="3"/>
    <x v="1"/>
    <s v="Organic Choco Syrup"/>
    <n v="847"/>
    <n v="129"/>
  </r>
  <r>
    <x v="1"/>
    <x v="1"/>
    <s v="Organic Choco Syrup"/>
    <n v="4753"/>
    <n v="300"/>
  </r>
  <r>
    <x v="4"/>
    <x v="4"/>
    <s v="Peanut Butter Cubes"/>
    <n v="959"/>
    <n v="135"/>
  </r>
  <r>
    <x v="5"/>
    <x v="1"/>
    <s v="85% Dark Bars"/>
    <n v="2793"/>
    <n v="114"/>
  </r>
  <r>
    <x v="5"/>
    <x v="1"/>
    <s v="50% Dark Bites"/>
    <n v="4606"/>
    <n v="63"/>
  </r>
  <r>
    <x v="5"/>
    <x v="2"/>
    <s v="Manuka Honey Choco"/>
    <n v="5551"/>
    <n v="252"/>
  </r>
  <r>
    <x v="9"/>
    <x v="2"/>
    <s v="Choco Coated Almonds"/>
    <n v="6657"/>
    <n v="303"/>
  </r>
  <r>
    <x v="5"/>
    <x v="3"/>
    <s v="Eclairs"/>
    <n v="4438"/>
    <n v="246"/>
  </r>
  <r>
    <x v="1"/>
    <x v="4"/>
    <s v="After Nines"/>
    <n v="168"/>
    <n v="84"/>
  </r>
  <r>
    <x v="5"/>
    <x v="5"/>
    <s v="Eclairs"/>
    <n v="7777"/>
    <n v="39"/>
  </r>
  <r>
    <x v="6"/>
    <x v="2"/>
    <s v="Eclairs"/>
    <n v="3339"/>
    <n v="348"/>
  </r>
  <r>
    <x v="5"/>
    <x v="0"/>
    <s v="Peanut Butter Cubes"/>
    <n v="6391"/>
    <n v="48"/>
  </r>
  <r>
    <x v="6"/>
    <x v="0"/>
    <s v="After Nines"/>
    <n v="518"/>
    <n v="75"/>
  </r>
  <r>
    <x v="5"/>
    <x v="4"/>
    <s v="Caramel Stuffed Bars"/>
    <n v="5677"/>
    <n v="258"/>
  </r>
  <r>
    <x v="4"/>
    <x v="3"/>
    <s v="Eclairs"/>
    <n v="6048"/>
    <n v="27"/>
  </r>
  <r>
    <x v="1"/>
    <x v="4"/>
    <s v="Choco Coated Almonds"/>
    <n v="3752"/>
    <n v="213"/>
  </r>
  <r>
    <x v="6"/>
    <x v="1"/>
    <s v="Manuka Honey Choco"/>
    <n v="4480"/>
    <n v="357"/>
  </r>
  <r>
    <x v="2"/>
    <x v="0"/>
    <s v="Almond Choco"/>
    <n v="259"/>
    <n v="207"/>
  </r>
  <r>
    <x v="1"/>
    <x v="0"/>
    <s v="70% Dark Bites"/>
    <n v="42"/>
    <n v="150"/>
  </r>
  <r>
    <x v="3"/>
    <x v="2"/>
    <s v="Baker's Choco Chips"/>
    <n v="98"/>
    <n v="204"/>
  </r>
  <r>
    <x v="5"/>
    <x v="1"/>
    <s v="Organic Choco Syrup"/>
    <n v="2478"/>
    <n v="21"/>
  </r>
  <r>
    <x v="3"/>
    <x v="5"/>
    <s v="Peanut Butter Cubes"/>
    <n v="7847"/>
    <n v="174"/>
  </r>
  <r>
    <x v="7"/>
    <x v="0"/>
    <s v="Eclairs"/>
    <n v="9926"/>
    <n v="201"/>
  </r>
  <r>
    <x v="1"/>
    <x v="4"/>
    <s v="Milk Bars"/>
    <n v="819"/>
    <n v="510"/>
  </r>
  <r>
    <x v="4"/>
    <x v="3"/>
    <s v="Manuka Honey Choco"/>
    <n v="3052"/>
    <n v="378"/>
  </r>
  <r>
    <x v="2"/>
    <x v="5"/>
    <s v="Spicy Special Slims"/>
    <n v="6832"/>
    <n v="27"/>
  </r>
  <r>
    <x v="7"/>
    <x v="3"/>
    <s v="Mint Chip Choco"/>
    <n v="2016"/>
    <n v="117"/>
  </r>
  <r>
    <x v="4"/>
    <x v="4"/>
    <s v="Spicy Special Slims"/>
    <n v="7322"/>
    <n v="36"/>
  </r>
  <r>
    <x v="1"/>
    <x v="1"/>
    <s v="Peanut Butter Cubes"/>
    <n v="357"/>
    <n v="126"/>
  </r>
  <r>
    <x v="2"/>
    <x v="3"/>
    <s v="White Choc"/>
    <n v="3192"/>
    <n v="72"/>
  </r>
  <r>
    <x v="5"/>
    <x v="2"/>
    <s v="After Nines"/>
    <n v="8435"/>
    <n v="42"/>
  </r>
  <r>
    <x v="0"/>
    <x v="3"/>
    <s v="Manuka Honey Choco"/>
    <n v="0"/>
    <n v="135"/>
  </r>
  <r>
    <x v="5"/>
    <x v="5"/>
    <s v="85% Dark Bars"/>
    <n v="8862"/>
    <n v="189"/>
  </r>
  <r>
    <x v="4"/>
    <x v="0"/>
    <s v="Caramel Stuffed Bars"/>
    <n v="3556"/>
    <n v="459"/>
  </r>
  <r>
    <x v="6"/>
    <x v="5"/>
    <s v="Raspberry Choco"/>
    <n v="7280"/>
    <n v="201"/>
  </r>
  <r>
    <x v="4"/>
    <x v="5"/>
    <s v="70% Dark Bites"/>
    <n v="3402"/>
    <n v="366"/>
  </r>
  <r>
    <x v="8"/>
    <x v="0"/>
    <s v="Manuka Honey Choco"/>
    <n v="4592"/>
    <n v="324"/>
  </r>
  <r>
    <x v="2"/>
    <x v="1"/>
    <s v="Raspberry Choco"/>
    <n v="7833"/>
    <n v="243"/>
  </r>
  <r>
    <x v="7"/>
    <x v="3"/>
    <s v="Spicy Special Slims"/>
    <n v="7651"/>
    <n v="213"/>
  </r>
  <r>
    <x v="0"/>
    <x v="1"/>
    <s v="70% Dark Bites"/>
    <n v="2275"/>
    <n v="447"/>
  </r>
  <r>
    <x v="0"/>
    <x v="4"/>
    <s v="Milk Bars"/>
    <n v="5670"/>
    <n v="297"/>
  </r>
  <r>
    <x v="5"/>
    <x v="1"/>
    <s v="Mint Chip Choco"/>
    <n v="2135"/>
    <n v="27"/>
  </r>
  <r>
    <x v="0"/>
    <x v="5"/>
    <s v="Fruit &amp; Nut Bars"/>
    <n v="2779"/>
    <n v="75"/>
  </r>
  <r>
    <x v="9"/>
    <x v="3"/>
    <s v="Peanut Butter Cubes"/>
    <n v="12950"/>
    <n v="30"/>
  </r>
  <r>
    <x v="5"/>
    <x v="2"/>
    <s v="Drinking Coco"/>
    <n v="2646"/>
    <n v="177"/>
  </r>
  <r>
    <x v="0"/>
    <x v="5"/>
    <s v="Peanut Butter Cubes"/>
    <n v="3794"/>
    <n v="159"/>
  </r>
  <r>
    <x v="8"/>
    <x v="1"/>
    <s v="Peanut Butter Cubes"/>
    <n v="819"/>
    <n v="306"/>
  </r>
  <r>
    <x v="8"/>
    <x v="5"/>
    <s v="Orange Choco"/>
    <n v="2583"/>
    <n v="18"/>
  </r>
  <r>
    <x v="5"/>
    <x v="1"/>
    <s v="99% Dark &amp; Pure"/>
    <n v="4585"/>
    <n v="240"/>
  </r>
  <r>
    <x v="6"/>
    <x v="5"/>
    <s v="Peanut Butter Cubes"/>
    <n v="1652"/>
    <n v="93"/>
  </r>
  <r>
    <x v="9"/>
    <x v="5"/>
    <s v="Baker's Choco Chips"/>
    <n v="4991"/>
    <n v="9"/>
  </r>
  <r>
    <x v="1"/>
    <x v="5"/>
    <s v="Mint Chip Choco"/>
    <n v="2009"/>
    <n v="219"/>
  </r>
  <r>
    <x v="7"/>
    <x v="3"/>
    <s v="After Nines"/>
    <n v="1568"/>
    <n v="141"/>
  </r>
  <r>
    <x v="3"/>
    <x v="0"/>
    <s v="Orange Choco"/>
    <n v="3388"/>
    <n v="123"/>
  </r>
  <r>
    <x v="0"/>
    <x v="4"/>
    <s v="85% Dark Bars"/>
    <n v="623"/>
    <n v="51"/>
  </r>
  <r>
    <x v="4"/>
    <x v="2"/>
    <s v="Almond Choco"/>
    <n v="10073"/>
    <n v="120"/>
  </r>
  <r>
    <x v="1"/>
    <x v="3"/>
    <s v="Baker's Choco Chips"/>
    <n v="1561"/>
    <n v="27"/>
  </r>
  <r>
    <x v="2"/>
    <x v="2"/>
    <s v="Organic Choco Syrup"/>
    <n v="11522"/>
    <n v="204"/>
  </r>
  <r>
    <x v="4"/>
    <x v="4"/>
    <s v="Milk Bars"/>
    <n v="2317"/>
    <n v="123"/>
  </r>
  <r>
    <x v="9"/>
    <x v="0"/>
    <s v="Caramel Stuffed Bars"/>
    <n v="3059"/>
    <n v="27"/>
  </r>
  <r>
    <x v="3"/>
    <x v="0"/>
    <s v="Baker's Choco Chips"/>
    <n v="2324"/>
    <n v="177"/>
  </r>
  <r>
    <x v="8"/>
    <x v="3"/>
    <s v="Baker's Choco Chips"/>
    <n v="4956"/>
    <n v="171"/>
  </r>
  <r>
    <x v="9"/>
    <x v="5"/>
    <s v="99% Dark &amp; Pure"/>
    <n v="5355"/>
    <n v="204"/>
  </r>
  <r>
    <x v="8"/>
    <x v="5"/>
    <s v="50% Dark Bites"/>
    <n v="7259"/>
    <n v="276"/>
  </r>
  <r>
    <x v="1"/>
    <x v="0"/>
    <s v="Baker's Choco Chips"/>
    <n v="6279"/>
    <n v="45"/>
  </r>
  <r>
    <x v="0"/>
    <x v="4"/>
    <s v="Manuka Honey Choco"/>
    <n v="2541"/>
    <n v="45"/>
  </r>
  <r>
    <x v="4"/>
    <x v="1"/>
    <s v="Organic Choco Syrup"/>
    <n v="3864"/>
    <n v="177"/>
  </r>
  <r>
    <x v="6"/>
    <x v="2"/>
    <s v="Milk Bars"/>
    <n v="6146"/>
    <n v="63"/>
  </r>
  <r>
    <x v="2"/>
    <x v="3"/>
    <s v="Drinking Coco"/>
    <n v="2639"/>
    <n v="204"/>
  </r>
  <r>
    <x v="1"/>
    <x v="0"/>
    <s v="After Nines"/>
    <n v="1890"/>
    <n v="195"/>
  </r>
  <r>
    <x v="5"/>
    <x v="5"/>
    <s v="50% Dark Bites"/>
    <n v="1932"/>
    <n v="369"/>
  </r>
  <r>
    <x v="8"/>
    <x v="5"/>
    <s v="White Choc"/>
    <n v="6300"/>
    <n v="42"/>
  </r>
  <r>
    <x v="4"/>
    <x v="0"/>
    <s v="70% Dark Bites"/>
    <n v="560"/>
    <n v="81"/>
  </r>
  <r>
    <x v="2"/>
    <x v="0"/>
    <s v="Baker's Choco Chips"/>
    <n v="2856"/>
    <n v="246"/>
  </r>
  <r>
    <x v="2"/>
    <x v="5"/>
    <s v="Eclairs"/>
    <n v="707"/>
    <n v="174"/>
  </r>
  <r>
    <x v="1"/>
    <x v="1"/>
    <s v="70% Dark Bites"/>
    <n v="3598"/>
    <n v="81"/>
  </r>
  <r>
    <x v="0"/>
    <x v="1"/>
    <s v="After Nines"/>
    <n v="6853"/>
    <n v="372"/>
  </r>
  <r>
    <x v="0"/>
    <x v="1"/>
    <s v="Mint Chip Choco"/>
    <n v="4725"/>
    <n v="174"/>
  </r>
  <r>
    <x v="3"/>
    <x v="2"/>
    <s v="Choco Coated Almonds"/>
    <n v="10304"/>
    <n v="84"/>
  </r>
  <r>
    <x v="3"/>
    <x v="5"/>
    <s v="Mint Chip Choco"/>
    <n v="1274"/>
    <n v="225"/>
  </r>
  <r>
    <x v="6"/>
    <x v="2"/>
    <s v="70% Dark Bites"/>
    <n v="1526"/>
    <n v="105"/>
  </r>
  <r>
    <x v="0"/>
    <x v="3"/>
    <s v="Caramel Stuffed Bars"/>
    <n v="3101"/>
    <n v="225"/>
  </r>
  <r>
    <x v="7"/>
    <x v="0"/>
    <s v="50% Dark Bites"/>
    <n v="1057"/>
    <n v="54"/>
  </r>
  <r>
    <x v="5"/>
    <x v="0"/>
    <s v="Baker's Choco Chips"/>
    <n v="5306"/>
    <n v="0"/>
  </r>
  <r>
    <x v="6"/>
    <x v="3"/>
    <s v="85% Dark Bars"/>
    <n v="4018"/>
    <n v="171"/>
  </r>
  <r>
    <x v="2"/>
    <x v="5"/>
    <s v="Mint Chip Choco"/>
    <n v="938"/>
    <n v="189"/>
  </r>
  <r>
    <x v="5"/>
    <x v="4"/>
    <s v="Drinking Coco"/>
    <n v="1778"/>
    <n v="270"/>
  </r>
  <r>
    <x v="4"/>
    <x v="3"/>
    <s v="70% Dark Bites"/>
    <n v="1638"/>
    <n v="63"/>
  </r>
  <r>
    <x v="3"/>
    <x v="4"/>
    <s v="White Choc"/>
    <n v="154"/>
    <n v="21"/>
  </r>
  <r>
    <x v="5"/>
    <x v="0"/>
    <s v="After Nines"/>
    <n v="9835"/>
    <n v="207"/>
  </r>
  <r>
    <x v="2"/>
    <x v="0"/>
    <s v="Orange Choco"/>
    <n v="7273"/>
    <n v="96"/>
  </r>
  <r>
    <x v="6"/>
    <x v="3"/>
    <s v="After Nines"/>
    <n v="6909"/>
    <n v="81"/>
  </r>
  <r>
    <x v="2"/>
    <x v="3"/>
    <s v="85% Dark Bars"/>
    <n v="3920"/>
    <n v="306"/>
  </r>
  <r>
    <x v="9"/>
    <x v="3"/>
    <s v="Spicy Special Slims"/>
    <n v="4858"/>
    <n v="279"/>
  </r>
  <r>
    <x v="7"/>
    <x v="4"/>
    <s v="Almond Choco"/>
    <n v="3549"/>
    <n v="3"/>
  </r>
  <r>
    <x v="5"/>
    <x v="3"/>
    <s v="Organic Choco Syrup"/>
    <n v="966"/>
    <n v="198"/>
  </r>
  <r>
    <x v="6"/>
    <x v="3"/>
    <s v="Drinking Coco"/>
    <n v="385"/>
    <n v="249"/>
  </r>
  <r>
    <x v="4"/>
    <x v="5"/>
    <s v="Mint Chip Choco"/>
    <n v="2219"/>
    <n v="75"/>
  </r>
  <r>
    <x v="2"/>
    <x v="2"/>
    <s v="Choco Coated Almonds"/>
    <n v="2954"/>
    <n v="189"/>
  </r>
  <r>
    <x v="5"/>
    <x v="2"/>
    <s v="Choco Coated Almonds"/>
    <n v="280"/>
    <n v="87"/>
  </r>
  <r>
    <x v="3"/>
    <x v="2"/>
    <s v="70% Dark Bites"/>
    <n v="6118"/>
    <n v="174"/>
  </r>
  <r>
    <x v="7"/>
    <x v="3"/>
    <s v="Raspberry Choco"/>
    <n v="4802"/>
    <n v="36"/>
  </r>
  <r>
    <x v="2"/>
    <x v="4"/>
    <s v="85% Dark Bars"/>
    <n v="4137"/>
    <n v="60"/>
  </r>
  <r>
    <x v="8"/>
    <x v="1"/>
    <s v="Fruit &amp; Nut Bars"/>
    <n v="2023"/>
    <n v="78"/>
  </r>
  <r>
    <x v="2"/>
    <x v="2"/>
    <s v="70% Dark Bites"/>
    <n v="9051"/>
    <n v="57"/>
  </r>
  <r>
    <x v="2"/>
    <x v="0"/>
    <s v="Caramel Stuffed Bars"/>
    <n v="2919"/>
    <n v="45"/>
  </r>
  <r>
    <x v="3"/>
    <x v="4"/>
    <s v="After Nines"/>
    <n v="5915"/>
    <n v="3"/>
  </r>
  <r>
    <x v="9"/>
    <x v="1"/>
    <s v="Raspberry Choco"/>
    <n v="2562"/>
    <n v="6"/>
  </r>
  <r>
    <x v="6"/>
    <x v="0"/>
    <s v="White Choc"/>
    <n v="8813"/>
    <n v="21"/>
  </r>
  <r>
    <x v="6"/>
    <x v="2"/>
    <s v="Drinking Coco"/>
    <n v="6111"/>
    <n v="3"/>
  </r>
  <r>
    <x v="1"/>
    <x v="5"/>
    <s v="Smooth Sliky Salty"/>
    <n v="3507"/>
    <n v="288"/>
  </r>
  <r>
    <x v="4"/>
    <x v="2"/>
    <s v="Milk Bars"/>
    <n v="4319"/>
    <n v="30"/>
  </r>
  <r>
    <x v="0"/>
    <x v="4"/>
    <s v="Baker's Choco Chips"/>
    <n v="609"/>
    <n v="87"/>
  </r>
  <r>
    <x v="0"/>
    <x v="3"/>
    <s v="Organic Choco Syrup"/>
    <n v="6370"/>
    <n v="30"/>
  </r>
  <r>
    <x v="6"/>
    <x v="4"/>
    <s v="99% Dark &amp; Pure"/>
    <n v="5474"/>
    <n v="168"/>
  </r>
  <r>
    <x v="0"/>
    <x v="2"/>
    <s v="Organic Choco Syrup"/>
    <n v="3164"/>
    <n v="306"/>
  </r>
  <r>
    <x v="4"/>
    <x v="1"/>
    <s v="Almond Choco"/>
    <n v="1302"/>
    <n v="402"/>
  </r>
  <r>
    <x v="8"/>
    <x v="0"/>
    <s v="Caramel Stuffed Bars"/>
    <n v="7308"/>
    <n v="327"/>
  </r>
  <r>
    <x v="0"/>
    <x v="0"/>
    <s v="Organic Choco Syrup"/>
    <n v="6132"/>
    <n v="93"/>
  </r>
  <r>
    <x v="9"/>
    <x v="1"/>
    <s v="50% Dark Bites"/>
    <n v="3472"/>
    <n v="96"/>
  </r>
  <r>
    <x v="1"/>
    <x v="3"/>
    <s v="Drinking Coco"/>
    <n v="9660"/>
    <n v="27"/>
  </r>
  <r>
    <x v="2"/>
    <x v="4"/>
    <s v="Baker's Choco Chips"/>
    <n v="2436"/>
    <n v="99"/>
  </r>
  <r>
    <x v="2"/>
    <x v="4"/>
    <s v="Peanut Butter Cubes"/>
    <n v="9506"/>
    <n v="87"/>
  </r>
  <r>
    <x v="9"/>
    <x v="0"/>
    <s v="Spicy Special Slims"/>
    <n v="245"/>
    <n v="288"/>
  </r>
  <r>
    <x v="1"/>
    <x v="1"/>
    <s v="Orange Choco"/>
    <n v="2702"/>
    <n v="363"/>
  </r>
  <r>
    <x v="9"/>
    <x v="5"/>
    <s v="Eclairs"/>
    <n v="700"/>
    <n v="87"/>
  </r>
  <r>
    <x v="4"/>
    <x v="5"/>
    <s v="Eclairs"/>
    <n v="3759"/>
    <n v="150"/>
  </r>
  <r>
    <x v="7"/>
    <x v="1"/>
    <s v="Eclairs"/>
    <n v="1589"/>
    <n v="303"/>
  </r>
  <r>
    <x v="5"/>
    <x v="1"/>
    <s v="Caramel Stuffed Bars"/>
    <n v="5194"/>
    <n v="288"/>
  </r>
  <r>
    <x v="9"/>
    <x v="2"/>
    <s v="Milk Bars"/>
    <n v="945"/>
    <n v="75"/>
  </r>
  <r>
    <x v="0"/>
    <x v="4"/>
    <s v="Smooth Sliky Salty"/>
    <n v="1988"/>
    <n v="39"/>
  </r>
  <r>
    <x v="4"/>
    <x v="5"/>
    <s v="Choco Coated Almonds"/>
    <n v="6734"/>
    <n v="123"/>
  </r>
  <r>
    <x v="0"/>
    <x v="2"/>
    <s v="Almond Choco"/>
    <n v="217"/>
    <n v="36"/>
  </r>
  <r>
    <x v="6"/>
    <x v="5"/>
    <s v="After Nines"/>
    <n v="6279"/>
    <n v="237"/>
  </r>
  <r>
    <x v="0"/>
    <x v="2"/>
    <s v="Milk Bars"/>
    <n v="4424"/>
    <n v="201"/>
  </r>
  <r>
    <x v="7"/>
    <x v="2"/>
    <s v="Eclairs"/>
    <n v="189"/>
    <n v="48"/>
  </r>
  <r>
    <x v="6"/>
    <x v="1"/>
    <s v="After Nines"/>
    <n v="490"/>
    <n v="84"/>
  </r>
  <r>
    <x v="1"/>
    <x v="0"/>
    <s v="Spicy Special Slims"/>
    <n v="434"/>
    <n v="87"/>
  </r>
  <r>
    <x v="5"/>
    <x v="4"/>
    <s v="70% Dark Bites"/>
    <n v="10129"/>
    <n v="312"/>
  </r>
  <r>
    <x v="8"/>
    <x v="3"/>
    <s v="Caramel Stuffed Bars"/>
    <n v="1652"/>
    <n v="102"/>
  </r>
  <r>
    <x v="1"/>
    <x v="4"/>
    <s v="Spicy Special Slims"/>
    <n v="6433"/>
    <n v="78"/>
  </r>
  <r>
    <x v="8"/>
    <x v="5"/>
    <s v="Fruit &amp; Nut Bars"/>
    <n v="2212"/>
    <n v="117"/>
  </r>
  <r>
    <x v="3"/>
    <x v="1"/>
    <s v="99% Dark &amp; Pure"/>
    <n v="609"/>
    <n v="99"/>
  </r>
  <r>
    <x v="0"/>
    <x v="1"/>
    <s v="85% Dark Bars"/>
    <n v="1638"/>
    <n v="48"/>
  </r>
  <r>
    <x v="5"/>
    <x v="5"/>
    <s v="Raspberry Choco"/>
    <n v="3829"/>
    <n v="24"/>
  </r>
  <r>
    <x v="0"/>
    <x v="3"/>
    <s v="Raspberry Choco"/>
    <n v="5775"/>
    <n v="42"/>
  </r>
  <r>
    <x v="4"/>
    <x v="1"/>
    <s v="Orange Choco"/>
    <n v="1071"/>
    <n v="270"/>
  </r>
  <r>
    <x v="1"/>
    <x v="2"/>
    <s v="Fruit &amp; Nut Bars"/>
    <n v="5019"/>
    <n v="150"/>
  </r>
  <r>
    <x v="7"/>
    <x v="0"/>
    <s v="Raspberry Choco"/>
    <n v="2863"/>
    <n v="42"/>
  </r>
  <r>
    <x v="0"/>
    <x v="1"/>
    <s v="Manuka Honey Choco"/>
    <n v="1617"/>
    <n v="126"/>
  </r>
  <r>
    <x v="4"/>
    <x v="0"/>
    <s v="Baker's Choco Chips"/>
    <n v="6818"/>
    <n v="6"/>
  </r>
  <r>
    <x v="8"/>
    <x v="1"/>
    <s v="Raspberry Choco"/>
    <n v="6657"/>
    <n v="276"/>
  </r>
  <r>
    <x v="8"/>
    <x v="5"/>
    <s v="Eclairs"/>
    <n v="2919"/>
    <n v="93"/>
  </r>
  <r>
    <x v="7"/>
    <x v="2"/>
    <s v="Smooth Sliky Salty"/>
    <n v="3094"/>
    <n v="246"/>
  </r>
  <r>
    <x v="4"/>
    <x v="3"/>
    <s v="85% Dark Bars"/>
    <n v="2989"/>
    <n v="3"/>
  </r>
  <r>
    <x v="1"/>
    <x v="4"/>
    <s v="Organic Choco Syrup"/>
    <n v="2268"/>
    <n v="63"/>
  </r>
  <r>
    <x v="6"/>
    <x v="1"/>
    <s v="Smooth Sliky Salty"/>
    <n v="4753"/>
    <n v="246"/>
  </r>
  <r>
    <x v="7"/>
    <x v="5"/>
    <s v="99% Dark &amp; Pure"/>
    <n v="7511"/>
    <n v="120"/>
  </r>
  <r>
    <x v="7"/>
    <x v="4"/>
    <s v="Smooth Sliky Salty"/>
    <n v="4326"/>
    <n v="348"/>
  </r>
  <r>
    <x v="3"/>
    <x v="5"/>
    <s v="Fruit &amp; Nut Bars"/>
    <n v="4935"/>
    <n v="126"/>
  </r>
  <r>
    <x v="4"/>
    <x v="1"/>
    <s v="70% Dark Bites"/>
    <n v="4781"/>
    <n v="123"/>
  </r>
  <r>
    <x v="6"/>
    <x v="4"/>
    <s v="White Choc"/>
    <n v="7483"/>
    <n v="45"/>
  </r>
  <r>
    <x v="9"/>
    <x v="4"/>
    <s v="Almond Choco"/>
    <n v="6860"/>
    <n v="126"/>
  </r>
  <r>
    <x v="0"/>
    <x v="0"/>
    <s v="Manuka Honey Choco"/>
    <n v="9002"/>
    <n v="72"/>
  </r>
  <r>
    <x v="4"/>
    <x v="2"/>
    <s v="Manuka Honey Choco"/>
    <n v="1400"/>
    <n v="135"/>
  </r>
  <r>
    <x v="9"/>
    <x v="5"/>
    <s v="After Nines"/>
    <n v="4053"/>
    <n v="24"/>
  </r>
  <r>
    <x v="5"/>
    <x v="2"/>
    <s v="Smooth Sliky Salty"/>
    <n v="2149"/>
    <n v="117"/>
  </r>
  <r>
    <x v="8"/>
    <x v="3"/>
    <s v="Manuka Honey Choco"/>
    <n v="3640"/>
    <n v="51"/>
  </r>
  <r>
    <x v="7"/>
    <x v="3"/>
    <s v="Fruit &amp; Nut Bars"/>
    <n v="630"/>
    <n v="36"/>
  </r>
  <r>
    <x v="2"/>
    <x v="1"/>
    <s v="Organic Choco Syrup"/>
    <n v="2429"/>
    <n v="144"/>
  </r>
  <r>
    <x v="2"/>
    <x v="2"/>
    <s v="White Choc"/>
    <n v="2142"/>
    <n v="114"/>
  </r>
  <r>
    <x v="5"/>
    <x v="0"/>
    <s v="70% Dark Bites"/>
    <n v="6454"/>
    <n v="54"/>
  </r>
  <r>
    <x v="5"/>
    <x v="0"/>
    <s v="Mint Chip Choco"/>
    <n v="4487"/>
    <n v="333"/>
  </r>
  <r>
    <x v="8"/>
    <x v="0"/>
    <s v="Almond Choco"/>
    <n v="938"/>
    <n v="366"/>
  </r>
  <r>
    <x v="8"/>
    <x v="4"/>
    <s v="Baker's Choco Chips"/>
    <n v="8841"/>
    <n v="303"/>
  </r>
  <r>
    <x v="7"/>
    <x v="3"/>
    <s v="Peanut Butter Cubes"/>
    <n v="4018"/>
    <n v="126"/>
  </r>
  <r>
    <x v="3"/>
    <x v="0"/>
    <s v="Raspberry Choco"/>
    <n v="714"/>
    <n v="231"/>
  </r>
  <r>
    <x v="2"/>
    <x v="4"/>
    <s v="White Choc"/>
    <n v="3850"/>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2FD81A-9F55-4A89-BD01-4B31ADDD58BB}"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C5:F11" firstHeaderRow="0" firstDataRow="1" firstDataCol="1"/>
  <pivotFields count="5">
    <pivotField showAll="0">
      <items count="11">
        <item h="1" x="7"/>
        <item h="1" x="1"/>
        <item h="1" x="3"/>
        <item h="1" x="5"/>
        <item h="1" x="4"/>
        <item h="1" x="6"/>
        <item h="1" x="8"/>
        <item h="1" x="2"/>
        <item h="1" x="9"/>
        <item x="0"/>
        <item t="default"/>
      </items>
    </pivotField>
    <pivotField axis="axisRow" showAll="0" sortType="descending">
      <items count="7">
        <item x="4"/>
        <item x="2"/>
        <item x="5"/>
        <item x="0"/>
        <item x="3"/>
        <item x="1"/>
        <item t="default"/>
      </items>
      <autoSortScope>
        <pivotArea dataOnly="0" outline="0" fieldPosition="0">
          <references count="1">
            <reference field="4294967294" count="1" selected="0">
              <x v="0"/>
            </reference>
          </references>
        </pivotArea>
      </autoSortScope>
    </pivotField>
    <pivotField showAll="0"/>
    <pivotField dataField="1" numFmtId="164" showAll="0"/>
    <pivotField dataField="1" numFmtId="3" showAll="0"/>
  </pivotFields>
  <rowFields count="1">
    <field x="1"/>
  </rowFields>
  <rowItems count="6">
    <i>
      <x v="5"/>
    </i>
    <i>
      <x v="2"/>
    </i>
    <i>
      <x v="3"/>
    </i>
    <i>
      <x v="1"/>
    </i>
    <i>
      <x v="4"/>
    </i>
    <i>
      <x/>
    </i>
  </rowItems>
  <colFields count="1">
    <field x="-2"/>
  </colFields>
  <colItems count="3">
    <i>
      <x/>
    </i>
    <i i="1">
      <x v="1"/>
    </i>
    <i i="2">
      <x v="2"/>
    </i>
  </colItems>
  <dataFields count="3">
    <dataField name="Sum of Amount" fld="3" baseField="0" baseItem="0"/>
    <dataField name=" " fld="3" baseField="0" baseItem="0"/>
    <dataField name="Sum of Units" fld="4" baseField="0" baseItem="0"/>
  </dataFields>
  <formats count="4">
    <format dxfId="6">
      <pivotArea collapsedLevelsAreSubtotals="1" fieldPosition="0">
        <references count="2">
          <reference field="4294967294" count="1" selected="0">
            <x v="0"/>
          </reference>
          <reference field="1" count="1">
            <x v="0"/>
          </reference>
        </references>
      </pivotArea>
    </format>
    <format dxfId="5">
      <pivotArea collapsedLevelsAreSubtotals="1" fieldPosition="0">
        <references count="2">
          <reference field="4294967294" count="1" selected="0">
            <x v="0"/>
          </reference>
          <reference field="1" count="5">
            <x v="1"/>
            <x v="2"/>
            <x v="3"/>
            <x v="4"/>
            <x v="5"/>
          </reference>
        </references>
      </pivotArea>
    </format>
    <format dxfId="4">
      <pivotArea field="1" type="button" dataOnly="0" labelOnly="1" outline="0" axis="axisRow" fieldPosition="0"/>
    </format>
    <format dxfId="3">
      <pivotArea dataOnly="0" labelOnly="1" outline="0" fieldPosition="0">
        <references count="1">
          <reference field="4294967294" count="3">
            <x v="0"/>
            <x v="1"/>
            <x v="2"/>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500A90-A4BC-420B-83FD-C931C0DEBF25}" name="PivotTable2"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9:D15"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013B33-7BAC-4065-B0F0-4B496669055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5:E18" firstHeaderRow="1" firstDataRow="1" firstDataCol="1"/>
  <pivotFields count="5">
    <pivotField axis="axisRow" showAll="0" measureFilter="1">
      <items count="11">
        <item x="7"/>
        <item x="1"/>
        <item x="3"/>
        <item x="5"/>
        <item x="4"/>
        <item x="6"/>
        <item x="8"/>
        <item x="2"/>
        <item x="9"/>
        <item x="0"/>
        <item t="default"/>
      </items>
    </pivotField>
    <pivotField axis="axisRow" showAll="0" sortType="ascending">
      <items count="7">
        <item x="4"/>
        <item x="2"/>
        <item x="5"/>
        <item x="0"/>
        <item x="3"/>
        <item x="1"/>
        <item t="default"/>
      </items>
    </pivotField>
    <pivotField showAll="0"/>
    <pivotField dataField="1" numFmtId="164" showAll="0"/>
    <pivotField numFmtId="3" showAl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dataFields>
  <pivotTableStyleInfo name="PivotStyleLight16" showRowHeaders="1" showColHeaders="1" showRowStripes="0" showColStripes="0" showLastColumn="1"/>
  <filters count="1">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3DF037-F82B-4C16-8126-F70ABC0A913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5:K18" firstHeaderRow="1" firstDataRow="1" firstDataCol="1"/>
  <pivotFields count="5">
    <pivotField axis="axisRow" showAll="0" measureFilter="1" sortType="ascending">
      <items count="11">
        <item x="7"/>
        <item x="1"/>
        <item x="3"/>
        <item x="5"/>
        <item x="4"/>
        <item x="6"/>
        <item x="8"/>
        <item x="2"/>
        <item x="9"/>
        <item x="0"/>
        <item t="default"/>
      </items>
    </pivotField>
    <pivotField axis="axisRow" showAll="0" sortType="ascending">
      <items count="7">
        <item x="4"/>
        <item x="2"/>
        <item x="5"/>
        <item x="0"/>
        <item x="3"/>
        <item x="1"/>
        <item t="default"/>
      </items>
    </pivotField>
    <pivotField showAll="0"/>
    <pivotField dataField="1" numFmtId="164" showAll="0"/>
    <pivotField numFmtId="3" showAll="0"/>
  </pivotFields>
  <rowFields count="2">
    <field x="1"/>
    <field x="0"/>
  </rowFields>
  <rowItems count="13">
    <i>
      <x/>
    </i>
    <i r="1">
      <x v="2"/>
    </i>
    <i>
      <x v="1"/>
    </i>
    <i r="1">
      <x v="1"/>
    </i>
    <i>
      <x v="2"/>
    </i>
    <i r="1">
      <x v="1"/>
    </i>
    <i>
      <x v="3"/>
    </i>
    <i r="1">
      <x v="8"/>
    </i>
    <i>
      <x v="4"/>
    </i>
    <i r="1">
      <x v="2"/>
    </i>
    <i>
      <x v="5"/>
    </i>
    <i r="1">
      <x/>
    </i>
    <i t="grand">
      <x/>
    </i>
  </rowItems>
  <colItems count="1">
    <i/>
  </colItems>
  <dataFields count="1">
    <dataField name="Sum of Amount" fld="3" baseField="0" baseItem="0"/>
  </dataFields>
  <pivotTableStyleInfo name="PivotStyleLight16" showRowHeaders="1" showColHeaders="1" showRowStripes="0" showColStripes="0" showLastColumn="1"/>
  <filters count="1">
    <filter fld="0" type="count" evalOrder="-1" id="3"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AADF7C-4F25-4E6B-84C8-1A455081E34B}" name="PivotTable6"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J15:L3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Amount" fld="0" baseField="0" baseItem="0"/>
    <dataField name="Count of cost" fld="1" subtotal="count" baseField="0" baseItem="0"/>
  </dataFields>
  <pivotHierarchies count="16">
    <pivotHierarchy dragToData="1"/>
    <pivotHierarchy dragToData="1"/>
    <pivotHierarchy dragToData="1"/>
    <pivotHierarchy multipleItemSelectionAllowed="1" dragToData="1">
      <members count="1" level="1">
        <member name="[Table2].[Geography].&amp;[Australi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12DDB2B5-CDF5-4637-A829-CA4804E6D658}" sourceName="Sales Person">
  <pivotTables>
    <pivotTable tabId="6" name="PivotTable1"/>
  </pivotTables>
  <data>
    <tabular pivotCacheId="467511208">
      <items count="10">
        <i x="7"/>
        <i x="1"/>
        <i x="3"/>
        <i x="5"/>
        <i x="4"/>
        <i x="6"/>
        <i x="8"/>
        <i x="2"/>
        <i x="9"/>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FF36B355-CF8C-43BD-9DDA-109897309CC3}" sourceName="[Table2].[Geography]">
  <pivotTables>
    <pivotTable tabId="11" name="PivotTable6"/>
  </pivotTables>
  <data>
    <olap pivotCacheId="284232385">
      <levels count="2">
        <level uniqueName="[Table2].[Geography].[(All)]" sourceCaption="(All)" count="0"/>
        <level uniqueName="[Table2].[Geography].[Geography]" sourceCaption="Geography" count="6">
          <ranges>
            <range startItem="0">
              <i n="[Table2].[Geography].&amp;[Australia]" c="Australia"/>
              <i n="[Table2].[Geography].&amp;[Canada]" c="Canada"/>
              <i n="[Table2].[Geography].&amp;[India]" c="India"/>
              <i n="[Table2].[Geography].&amp;[New Zealand]" c="New Zealand"/>
              <i n="[Table2].[Geography].&amp;[UK]" c="UK"/>
              <i n="[Table2].[Geography].&amp;[USA]" c="USA"/>
            </range>
          </ranges>
        </level>
      </levels>
      <selections count="1">
        <selection n="[Table2].[Geograph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C0BDABDA-BEC3-4C6C-AEF9-C2FB811958E8}" cache="Slicer_Sales_Person" caption="Sales Pers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E789806F-6432-4BF5-AD0D-409033895B3E}" cache="Slicer_Geography" caption="Geograph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Y11:Z33" totalsRowShown="0">
  <autoFilter ref="Y11:Z33" xr:uid="{6DAC1E92-D947-4232-891E-65555AD7A47E}"/>
  <tableColumns count="2">
    <tableColumn id="1" xr3:uid="{1B8963D1-E60F-4400-A175-651A513B826F}" name="Product"/>
    <tableColumn id="2" xr3:uid="{1798A7DA-FB9F-46D3-AA0A-B6BCA4A81AC3}" name="Cost per unit"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07D4B8-749D-44B3-A03E-9066EBA61D02}" name="Table2" displayName="Table2" ref="C11:I311" totalsRowShown="0" headerRowDxfId="18">
  <tableColumns count="7">
    <tableColumn id="1" xr3:uid="{D840F34E-8295-43D6-8AF6-9A0A8BA6EA82}" name="Sales Person"/>
    <tableColumn id="2" xr3:uid="{CCA682F5-18B9-4029-9A67-F45A4BE3F344}" name="Geography"/>
    <tableColumn id="3" xr3:uid="{22D4CBA7-84A0-457C-AD85-41718396C949}" name="Product"/>
    <tableColumn id="4" xr3:uid="{F0813B0F-AE70-4D00-A49E-C52A0086FFE6}" name="Amount" dataDxfId="17"/>
    <tableColumn id="5" xr3:uid="{50C97A9B-1D8A-401B-94D1-F14A3FFB3BD0}" name="Units" dataDxfId="16"/>
    <tableColumn id="6" xr3:uid="{82816829-E77E-440C-8F57-C6D181FC7549}" name="cost per unit" dataDxfId="15">
      <calculatedColumnFormula>_xlfn.XLOOKUP([1]!data[[#This Row],[Product]],[1]!products[Product],[1]!products[Cost per unit])</calculatedColumnFormula>
    </tableColumn>
    <tableColumn id="7" xr3:uid="{3DC5DEEE-8CD2-4AFD-9548-843D135F59DE}" name="cost" dataDxfId="14">
      <calculatedColumnFormula>[1]!data[[#This Row],[Cost per unit]]*[1]!data[[#This Row],[Units]]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2CD482-713D-45CA-B3C2-201FE793B582}" name="Table24" displayName="Table24" ref="B8:F308" totalsRowShown="0" headerRowDxfId="9">
  <tableColumns count="5">
    <tableColumn id="1" xr3:uid="{D51BDF20-AB7C-4549-AFE6-74E274E095C2}" name="Sales Person"/>
    <tableColumn id="2" xr3:uid="{F91DBF34-0773-4F9D-9CC3-2CF3C0F56A44}" name="Geography"/>
    <tableColumn id="3" xr3:uid="{11F76289-ECC4-4816-A333-E52683E05593}" name="Product"/>
    <tableColumn id="4" xr3:uid="{8189676A-C662-4240-BB8A-490B7304711E}" name="Amount" dataDxfId="8"/>
    <tableColumn id="5" xr3:uid="{D1E2B944-66AD-4B6C-AF00-7EA65ECFDDC6}" name="Units"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5C90BE-74EE-4C2C-9CC3-E6C91FC8D5C6}" name="Table26" displayName="Table26" ref="D5:H305" totalsRowShown="0" headerRowDxfId="2">
  <tableColumns count="5">
    <tableColumn id="1" xr3:uid="{850B715E-D2D9-4F0B-8498-87461026B081}" name="Sales Person"/>
    <tableColumn id="2" xr3:uid="{824AD4C1-DC38-4DE1-A5D7-D4B7AF7FA705}" name="Geography"/>
    <tableColumn id="3" xr3:uid="{0AC8A919-6AF5-4B9A-B577-F962BA44713F}" name="Product"/>
    <tableColumn id="4" xr3:uid="{77DD6BEA-943E-43B2-ABE1-C3C994FE3228}" name="Amount" dataDxfId="1"/>
    <tableColumn id="5" xr3:uid="{6D7A400F-4B25-46EF-9227-1BE16515579E}" name="Uni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Z658"/>
  <sheetViews>
    <sheetView showGridLines="0" tabSelected="1" zoomScaleNormal="100" workbookViewId="0">
      <selection activeCell="I11" sqref="I11:I311"/>
    </sheetView>
  </sheetViews>
  <sheetFormatPr defaultRowHeight="14.4" x14ac:dyDescent="0.3"/>
  <cols>
    <col min="1" max="1" width="1.6640625" customWidth="1"/>
    <col min="2" max="2" width="3.6640625" customWidth="1"/>
    <col min="3" max="3" width="19.5546875" customWidth="1"/>
    <col min="4" max="4" width="14.6640625" customWidth="1"/>
    <col min="5" max="5" width="21.88671875" customWidth="1"/>
    <col min="6" max="6" width="13.5546875" customWidth="1"/>
    <col min="7" max="7" width="11.6640625" customWidth="1"/>
    <col min="8" max="8" width="13.6640625" customWidth="1"/>
    <col min="9" max="9" width="13.44140625" customWidth="1"/>
    <col min="10" max="10" width="3.88671875" customWidth="1"/>
    <col min="11" max="11" width="53.88671875" customWidth="1"/>
    <col min="25" max="25" width="21.88671875" customWidth="1"/>
    <col min="26" max="26" width="14.44140625" customWidth="1"/>
    <col min="31" max="31" width="21.88671875" customWidth="1"/>
  </cols>
  <sheetData>
    <row r="1" spans="1:26" s="2" customFormat="1" ht="52.5" customHeight="1" x14ac:dyDescent="0.3">
      <c r="A1" s="1"/>
      <c r="C1" s="3" t="s">
        <v>42</v>
      </c>
    </row>
    <row r="11" spans="1:26" x14ac:dyDescent="0.3">
      <c r="C11" s="6" t="s">
        <v>11</v>
      </c>
      <c r="D11" s="6" t="s">
        <v>12</v>
      </c>
      <c r="E11" s="6" t="s">
        <v>0</v>
      </c>
      <c r="F11" s="10" t="s">
        <v>1</v>
      </c>
      <c r="G11" s="10" t="s">
        <v>50</v>
      </c>
      <c r="H11" s="6" t="s">
        <v>84</v>
      </c>
      <c r="I11" s="6" t="s">
        <v>85</v>
      </c>
      <c r="J11" s="9" t="s">
        <v>43</v>
      </c>
      <c r="K11" s="2"/>
      <c r="Y11" t="s">
        <v>0</v>
      </c>
      <c r="Z11" t="s">
        <v>51</v>
      </c>
    </row>
    <row r="12" spans="1:26" x14ac:dyDescent="0.3">
      <c r="C12" t="s">
        <v>40</v>
      </c>
      <c r="D12" t="s">
        <v>37</v>
      </c>
      <c r="E12" t="s">
        <v>30</v>
      </c>
      <c r="F12" s="4">
        <v>1624</v>
      </c>
      <c r="G12" s="5">
        <v>114</v>
      </c>
      <c r="H12" s="56">
        <v>14.45</v>
      </c>
      <c r="I12" s="55" t="s">
        <v>83</v>
      </c>
      <c r="J12" s="7">
        <v>1</v>
      </c>
      <c r="K12" s="8" t="s">
        <v>44</v>
      </c>
      <c r="Y12" t="s">
        <v>13</v>
      </c>
      <c r="Z12" s="11">
        <v>9.33</v>
      </c>
    </row>
    <row r="13" spans="1:26" x14ac:dyDescent="0.3">
      <c r="C13" t="s">
        <v>8</v>
      </c>
      <c r="D13" t="s">
        <v>35</v>
      </c>
      <c r="E13" t="s">
        <v>32</v>
      </c>
      <c r="F13" s="4">
        <v>6706</v>
      </c>
      <c r="G13" s="5">
        <v>459</v>
      </c>
      <c r="H13" s="11">
        <f>_xlfn.XLOOKUP([1]!data[[#This Row],[Product]],[1]!products[Product],[1]!products[Cost per unit])</f>
        <v>8.65</v>
      </c>
      <c r="I13" s="11" t="e">
        <f>[1]!data[[#This Row],[Cost per unit]]*[1]!data[[#This Row],[Units]]</f>
        <v>#REF!</v>
      </c>
      <c r="J13" s="7">
        <v>2</v>
      </c>
      <c r="K13" s="8" t="s">
        <v>53</v>
      </c>
      <c r="Y13" t="s">
        <v>14</v>
      </c>
      <c r="Z13" s="11">
        <v>11.7</v>
      </c>
    </row>
    <row r="14" spans="1:26" x14ac:dyDescent="0.3">
      <c r="C14" t="s">
        <v>9</v>
      </c>
      <c r="D14" t="s">
        <v>35</v>
      </c>
      <c r="E14" t="s">
        <v>4</v>
      </c>
      <c r="F14" s="4">
        <v>959</v>
      </c>
      <c r="G14" s="5">
        <v>147</v>
      </c>
      <c r="H14" s="11">
        <f>_xlfn.XLOOKUP([1]!data[[#This Row],[Product]],[1]!products[Product],[1]!products[Cost per unit])</f>
        <v>11.88</v>
      </c>
      <c r="I14" s="11" t="e">
        <f>[1]!data[[#This Row],[Cost per unit]]*[1]!data[[#This Row],[Units]]</f>
        <v>#REF!</v>
      </c>
      <c r="J14" s="7">
        <v>3</v>
      </c>
      <c r="K14" s="8" t="s">
        <v>45</v>
      </c>
      <c r="Y14" t="s">
        <v>4</v>
      </c>
      <c r="Z14" s="11">
        <v>11.88</v>
      </c>
    </row>
    <row r="15" spans="1:26" x14ac:dyDescent="0.3">
      <c r="C15" t="s">
        <v>41</v>
      </c>
      <c r="D15" t="s">
        <v>36</v>
      </c>
      <c r="E15" t="s">
        <v>18</v>
      </c>
      <c r="F15" s="4">
        <v>9632</v>
      </c>
      <c r="G15" s="5">
        <v>288</v>
      </c>
      <c r="H15" s="11">
        <f>_xlfn.XLOOKUP([1]!data[[#This Row],[Product]],[1]!products[Product],[1]!products[Cost per unit])</f>
        <v>6.47</v>
      </c>
      <c r="I15" s="11" t="e">
        <f>[1]!data[[#This Row],[Cost per unit]]*[1]!data[[#This Row],[Units]]</f>
        <v>#REF!</v>
      </c>
      <c r="J15" s="7">
        <v>4</v>
      </c>
      <c r="K15" s="8" t="s">
        <v>46</v>
      </c>
      <c r="Y15" t="s">
        <v>15</v>
      </c>
      <c r="Z15" s="11">
        <v>11.73</v>
      </c>
    </row>
    <row r="16" spans="1:26" x14ac:dyDescent="0.3">
      <c r="C16" t="s">
        <v>6</v>
      </c>
      <c r="D16" t="s">
        <v>39</v>
      </c>
      <c r="E16" t="s">
        <v>25</v>
      </c>
      <c r="F16" s="4">
        <v>2100</v>
      </c>
      <c r="G16" s="5">
        <v>414</v>
      </c>
      <c r="H16" s="11">
        <f>_xlfn.XLOOKUP([1]!data[[#This Row],[Product]],[1]!products[Product],[1]!products[Cost per unit])</f>
        <v>13.15</v>
      </c>
      <c r="I16" s="11" t="e">
        <f>[1]!data[[#This Row],[Cost per unit]]*[1]!data[[#This Row],[Units]]</f>
        <v>#REF!</v>
      </c>
      <c r="J16" s="7">
        <v>5</v>
      </c>
      <c r="K16" s="8" t="s">
        <v>54</v>
      </c>
      <c r="Y16" t="s">
        <v>16</v>
      </c>
      <c r="Z16" s="11">
        <v>8.7899999999999991</v>
      </c>
    </row>
    <row r="17" spans="3:26" x14ac:dyDescent="0.3">
      <c r="C17" t="s">
        <v>40</v>
      </c>
      <c r="D17" t="s">
        <v>35</v>
      </c>
      <c r="E17" t="s">
        <v>33</v>
      </c>
      <c r="F17" s="4">
        <v>8869</v>
      </c>
      <c r="G17" s="5">
        <v>432</v>
      </c>
      <c r="H17" s="11">
        <f>_xlfn.XLOOKUP([1]!data[[#This Row],[Product]],[1]!products[Product],[1]!products[Cost per unit])</f>
        <v>12.37</v>
      </c>
      <c r="I17" s="11" t="e">
        <f>[1]!data[[#This Row],[Cost per unit]]*[1]!data[[#This Row],[Units]]</f>
        <v>#REF!</v>
      </c>
      <c r="J17" s="7">
        <v>6</v>
      </c>
      <c r="K17" s="8" t="s">
        <v>55</v>
      </c>
      <c r="Y17" t="s">
        <v>17</v>
      </c>
      <c r="Z17" s="11">
        <v>3.11</v>
      </c>
    </row>
    <row r="18" spans="3:26" x14ac:dyDescent="0.3">
      <c r="C18" t="s">
        <v>6</v>
      </c>
      <c r="D18" t="s">
        <v>38</v>
      </c>
      <c r="E18" t="s">
        <v>31</v>
      </c>
      <c r="F18" s="4">
        <v>2681</v>
      </c>
      <c r="G18" s="5">
        <v>54</v>
      </c>
      <c r="H18" s="11">
        <f>_xlfn.XLOOKUP([1]!data[[#This Row],[Product]],[1]!products[Product],[1]!products[Cost per unit])</f>
        <v>5.79</v>
      </c>
      <c r="I18" s="11" t="e">
        <f>[1]!data[[#This Row],[Cost per unit]]*[1]!data[[#This Row],[Units]]</f>
        <v>#REF!</v>
      </c>
      <c r="J18" s="7">
        <v>7</v>
      </c>
      <c r="K18" s="8" t="s">
        <v>49</v>
      </c>
      <c r="Y18" t="s">
        <v>18</v>
      </c>
      <c r="Z18" s="11">
        <v>6.47</v>
      </c>
    </row>
    <row r="19" spans="3:26" x14ac:dyDescent="0.3">
      <c r="C19" t="s">
        <v>8</v>
      </c>
      <c r="D19" t="s">
        <v>35</v>
      </c>
      <c r="E19" t="s">
        <v>22</v>
      </c>
      <c r="F19" s="4">
        <v>5012</v>
      </c>
      <c r="G19" s="5">
        <v>210</v>
      </c>
      <c r="H19" s="11">
        <f>_xlfn.XLOOKUP([1]!data[[#This Row],[Product]],[1]!products[Product],[1]!products[Cost per unit])</f>
        <v>9.77</v>
      </c>
      <c r="I19" s="11" t="e">
        <f>[1]!data[[#This Row],[Cost per unit]]*[1]!data[[#This Row],[Units]]</f>
        <v>#REF!</v>
      </c>
      <c r="J19" s="7">
        <v>8</v>
      </c>
      <c r="K19" s="8" t="s">
        <v>52</v>
      </c>
      <c r="Y19" t="s">
        <v>19</v>
      </c>
      <c r="Z19" s="11">
        <v>7.64</v>
      </c>
    </row>
    <row r="20" spans="3:26" x14ac:dyDescent="0.3">
      <c r="C20" t="s">
        <v>7</v>
      </c>
      <c r="D20" t="s">
        <v>38</v>
      </c>
      <c r="E20" t="s">
        <v>14</v>
      </c>
      <c r="F20" s="4">
        <v>1281</v>
      </c>
      <c r="G20" s="5">
        <v>75</v>
      </c>
      <c r="H20" s="11">
        <f>_xlfn.XLOOKUP([1]!data[[#This Row],[Product]],[1]!products[Product],[1]!products[Cost per unit])</f>
        <v>11.7</v>
      </c>
      <c r="I20" s="11" t="e">
        <f>[1]!data[[#This Row],[Cost per unit]]*[1]!data[[#This Row],[Units]]</f>
        <v>#REF!</v>
      </c>
      <c r="J20" s="7">
        <v>9</v>
      </c>
      <c r="K20" s="8" t="s">
        <v>47</v>
      </c>
      <c r="Y20" t="s">
        <v>20</v>
      </c>
      <c r="Z20" s="11">
        <v>10.62</v>
      </c>
    </row>
    <row r="21" spans="3:26" x14ac:dyDescent="0.3">
      <c r="C21" t="s">
        <v>5</v>
      </c>
      <c r="D21" t="s">
        <v>37</v>
      </c>
      <c r="E21" t="s">
        <v>14</v>
      </c>
      <c r="F21" s="4">
        <v>4991</v>
      </c>
      <c r="G21" s="5">
        <v>12</v>
      </c>
      <c r="H21" s="11">
        <f>_xlfn.XLOOKUP([1]!data[[#This Row],[Product]],[1]!products[Product],[1]!products[Cost per unit])</f>
        <v>11.7</v>
      </c>
      <c r="I21" s="11" t="e">
        <f>[1]!data[[#This Row],[Cost per unit]]*[1]!data[[#This Row],[Units]]</f>
        <v>#REF!</v>
      </c>
      <c r="J21" s="7">
        <v>10</v>
      </c>
      <c r="K21" s="8" t="s">
        <v>48</v>
      </c>
      <c r="Y21" t="s">
        <v>21</v>
      </c>
      <c r="Z21" s="11">
        <v>9</v>
      </c>
    </row>
    <row r="22" spans="3:26" x14ac:dyDescent="0.3">
      <c r="C22" t="s">
        <v>2</v>
      </c>
      <c r="D22" t="s">
        <v>39</v>
      </c>
      <c r="E22" t="s">
        <v>25</v>
      </c>
      <c r="F22" s="4">
        <v>1785</v>
      </c>
      <c r="G22" s="5">
        <v>462</v>
      </c>
      <c r="H22" s="11">
        <f>_xlfn.XLOOKUP([1]!data[[#This Row],[Product]],[1]!products[Product],[1]!products[Cost per unit])</f>
        <v>13.15</v>
      </c>
      <c r="I22" s="11" t="e">
        <f>[1]!data[[#This Row],[Cost per unit]]*[1]!data[[#This Row],[Units]]</f>
        <v>#REF!</v>
      </c>
      <c r="Y22" t="s">
        <v>22</v>
      </c>
      <c r="Z22" s="11">
        <v>9.77</v>
      </c>
    </row>
    <row r="23" spans="3:26" x14ac:dyDescent="0.3">
      <c r="C23" t="s">
        <v>3</v>
      </c>
      <c r="D23" t="s">
        <v>37</v>
      </c>
      <c r="E23" t="s">
        <v>17</v>
      </c>
      <c r="F23" s="4">
        <v>3983</v>
      </c>
      <c r="G23" s="5">
        <v>144</v>
      </c>
      <c r="H23" s="11">
        <f>_xlfn.XLOOKUP([1]!data[[#This Row],[Product]],[1]!products[Product],[1]!products[Cost per unit])</f>
        <v>3.11</v>
      </c>
      <c r="I23" s="11" t="e">
        <f>[1]!data[[#This Row],[Cost per unit]]*[1]!data[[#This Row],[Units]]</f>
        <v>#REF!</v>
      </c>
      <c r="Y23" t="s">
        <v>23</v>
      </c>
      <c r="Z23" s="11">
        <v>6.49</v>
      </c>
    </row>
    <row r="24" spans="3:26" x14ac:dyDescent="0.3">
      <c r="C24" t="s">
        <v>9</v>
      </c>
      <c r="D24" t="s">
        <v>38</v>
      </c>
      <c r="E24" t="s">
        <v>16</v>
      </c>
      <c r="F24" s="4">
        <v>2646</v>
      </c>
      <c r="G24" s="5">
        <v>120</v>
      </c>
      <c r="H24" s="11">
        <f>_xlfn.XLOOKUP([1]!data[[#This Row],[Product]],[1]!products[Product],[1]!products[Cost per unit])</f>
        <v>8.7899999999999991</v>
      </c>
      <c r="I24" s="11" t="e">
        <f>[1]!data[[#This Row],[Cost per unit]]*[1]!data[[#This Row],[Units]]</f>
        <v>#REF!</v>
      </c>
      <c r="Y24" t="s">
        <v>24</v>
      </c>
      <c r="Z24" s="11">
        <v>4.97</v>
      </c>
    </row>
    <row r="25" spans="3:26" x14ac:dyDescent="0.3">
      <c r="C25" t="s">
        <v>2</v>
      </c>
      <c r="D25" t="s">
        <v>34</v>
      </c>
      <c r="E25" t="s">
        <v>13</v>
      </c>
      <c r="F25" s="4">
        <v>252</v>
      </c>
      <c r="G25" s="5">
        <v>54</v>
      </c>
      <c r="H25" s="11">
        <f>_xlfn.XLOOKUP([1]!data[[#This Row],[Product]],[1]!products[Product],[1]!products[Cost per unit])</f>
        <v>9.33</v>
      </c>
      <c r="I25" s="11" t="e">
        <f>[1]!data[[#This Row],[Cost per unit]]*[1]!data[[#This Row],[Units]]</f>
        <v>#REF!</v>
      </c>
      <c r="Y25" t="s">
        <v>25</v>
      </c>
      <c r="Z25" s="11">
        <v>13.15</v>
      </c>
    </row>
    <row r="26" spans="3:26" x14ac:dyDescent="0.3">
      <c r="C26" t="s">
        <v>3</v>
      </c>
      <c r="D26" t="s">
        <v>35</v>
      </c>
      <c r="E26" t="s">
        <v>25</v>
      </c>
      <c r="F26" s="4">
        <v>2464</v>
      </c>
      <c r="G26" s="5">
        <v>234</v>
      </c>
      <c r="H26" s="11">
        <f>_xlfn.XLOOKUP([1]!data[[#This Row],[Product]],[1]!products[Product],[1]!products[Cost per unit])</f>
        <v>13.15</v>
      </c>
      <c r="I26" s="11" t="e">
        <f>[1]!data[[#This Row],[Cost per unit]]*[1]!data[[#This Row],[Units]]</f>
        <v>#REF!</v>
      </c>
      <c r="Y26" t="s">
        <v>26</v>
      </c>
      <c r="Z26" s="11">
        <v>5.6</v>
      </c>
    </row>
    <row r="27" spans="3:26" x14ac:dyDescent="0.3">
      <c r="C27" t="s">
        <v>3</v>
      </c>
      <c r="D27" t="s">
        <v>35</v>
      </c>
      <c r="E27" t="s">
        <v>29</v>
      </c>
      <c r="F27" s="4">
        <v>2114</v>
      </c>
      <c r="G27" s="5">
        <v>66</v>
      </c>
      <c r="H27" s="11">
        <f>_xlfn.XLOOKUP([1]!data[[#This Row],[Product]],[1]!products[Product],[1]!products[Cost per unit])</f>
        <v>7.16</v>
      </c>
      <c r="I27" s="11" t="e">
        <f>[1]!data[[#This Row],[Cost per unit]]*[1]!data[[#This Row],[Units]]</f>
        <v>#REF!</v>
      </c>
      <c r="Y27" t="s">
        <v>27</v>
      </c>
      <c r="Z27" s="11">
        <v>16.73</v>
      </c>
    </row>
    <row r="28" spans="3:26" x14ac:dyDescent="0.3">
      <c r="C28" t="s">
        <v>6</v>
      </c>
      <c r="D28" t="s">
        <v>37</v>
      </c>
      <c r="E28" t="s">
        <v>31</v>
      </c>
      <c r="F28" s="4">
        <v>7693</v>
      </c>
      <c r="G28" s="5">
        <v>87</v>
      </c>
      <c r="H28" s="11">
        <f>_xlfn.XLOOKUP([1]!data[[#This Row],[Product]],[1]!products[Product],[1]!products[Cost per unit])</f>
        <v>5.79</v>
      </c>
      <c r="I28" s="11" t="e">
        <f>[1]!data[[#This Row],[Cost per unit]]*[1]!data[[#This Row],[Units]]</f>
        <v>#REF!</v>
      </c>
      <c r="Y28" t="s">
        <v>28</v>
      </c>
      <c r="Z28" s="11">
        <v>10.38</v>
      </c>
    </row>
    <row r="29" spans="3:26" x14ac:dyDescent="0.3">
      <c r="C29" t="s">
        <v>5</v>
      </c>
      <c r="D29" t="s">
        <v>34</v>
      </c>
      <c r="E29" t="s">
        <v>20</v>
      </c>
      <c r="F29" s="4">
        <v>15610</v>
      </c>
      <c r="G29" s="5">
        <v>339</v>
      </c>
      <c r="H29" s="11">
        <f>_xlfn.XLOOKUP([1]!data[[#This Row],[Product]],[1]!products[Product],[1]!products[Cost per unit])</f>
        <v>10.62</v>
      </c>
      <c r="I29" s="11" t="e">
        <f>[1]!data[[#This Row],[Cost per unit]]*[1]!data[[#This Row],[Units]]</f>
        <v>#REF!</v>
      </c>
      <c r="Y29" t="s">
        <v>29</v>
      </c>
      <c r="Z29" s="11">
        <v>7.16</v>
      </c>
    </row>
    <row r="30" spans="3:26" x14ac:dyDescent="0.3">
      <c r="C30" t="s">
        <v>41</v>
      </c>
      <c r="D30" t="s">
        <v>34</v>
      </c>
      <c r="E30" t="s">
        <v>22</v>
      </c>
      <c r="F30" s="4">
        <v>336</v>
      </c>
      <c r="G30" s="5">
        <v>144</v>
      </c>
      <c r="H30" s="11">
        <f>_xlfn.XLOOKUP([1]!data[[#This Row],[Product]],[1]!products[Product],[1]!products[Cost per unit])</f>
        <v>9.77</v>
      </c>
      <c r="I30" s="11" t="e">
        <f>[1]!data[[#This Row],[Cost per unit]]*[1]!data[[#This Row],[Units]]</f>
        <v>#REF!</v>
      </c>
      <c r="Y30" t="s">
        <v>30</v>
      </c>
      <c r="Z30" s="11">
        <v>14.49</v>
      </c>
    </row>
    <row r="31" spans="3:26" x14ac:dyDescent="0.3">
      <c r="C31" t="s">
        <v>2</v>
      </c>
      <c r="D31" t="s">
        <v>39</v>
      </c>
      <c r="E31" t="s">
        <v>20</v>
      </c>
      <c r="F31" s="4">
        <v>9443</v>
      </c>
      <c r="G31" s="5">
        <v>162</v>
      </c>
      <c r="H31" s="11">
        <f>_xlfn.XLOOKUP([1]!data[[#This Row],[Product]],[1]!products[Product],[1]!products[Cost per unit])</f>
        <v>10.62</v>
      </c>
      <c r="I31" s="11" t="e">
        <f>[1]!data[[#This Row],[Cost per unit]]*[1]!data[[#This Row],[Units]]</f>
        <v>#REF!</v>
      </c>
      <c r="Y31" t="s">
        <v>31</v>
      </c>
      <c r="Z31" s="11">
        <v>5.79</v>
      </c>
    </row>
    <row r="32" spans="3:26" x14ac:dyDescent="0.3">
      <c r="C32" t="s">
        <v>9</v>
      </c>
      <c r="D32" t="s">
        <v>34</v>
      </c>
      <c r="E32" t="s">
        <v>23</v>
      </c>
      <c r="F32" s="4">
        <v>8155</v>
      </c>
      <c r="G32" s="5">
        <v>90</v>
      </c>
      <c r="H32" s="11">
        <f>_xlfn.XLOOKUP([1]!data[[#This Row],[Product]],[1]!products[Product],[1]!products[Cost per unit])</f>
        <v>6.49</v>
      </c>
      <c r="I32" s="11" t="e">
        <f>[1]!data[[#This Row],[Cost per unit]]*[1]!data[[#This Row],[Units]]</f>
        <v>#REF!</v>
      </c>
      <c r="Y32" t="s">
        <v>32</v>
      </c>
      <c r="Z32" s="11">
        <v>8.65</v>
      </c>
    </row>
    <row r="33" spans="3:26" x14ac:dyDescent="0.3">
      <c r="C33" t="s">
        <v>8</v>
      </c>
      <c r="D33" t="s">
        <v>38</v>
      </c>
      <c r="E33" t="s">
        <v>23</v>
      </c>
      <c r="F33" s="4">
        <v>1701</v>
      </c>
      <c r="G33" s="5">
        <v>234</v>
      </c>
      <c r="H33" s="11">
        <f>_xlfn.XLOOKUP([1]!data[[#This Row],[Product]],[1]!products[Product],[1]!products[Cost per unit])</f>
        <v>6.49</v>
      </c>
      <c r="I33" s="11" t="e">
        <f>[1]!data[[#This Row],[Cost per unit]]*[1]!data[[#This Row],[Units]]</f>
        <v>#REF!</v>
      </c>
      <c r="Y33" t="s">
        <v>33</v>
      </c>
      <c r="Z33" s="11">
        <v>12.37</v>
      </c>
    </row>
    <row r="34" spans="3:26" x14ac:dyDescent="0.3">
      <c r="C34" t="s">
        <v>10</v>
      </c>
      <c r="D34" t="s">
        <v>38</v>
      </c>
      <c r="E34" t="s">
        <v>22</v>
      </c>
      <c r="F34" s="4">
        <v>2205</v>
      </c>
      <c r="G34" s="5">
        <v>141</v>
      </c>
      <c r="H34" s="11">
        <f>_xlfn.XLOOKUP([1]!data[[#This Row],[Product]],[1]!products[Product],[1]!products[Cost per unit])</f>
        <v>9.77</v>
      </c>
      <c r="I34" s="11" t="e">
        <f>[1]!data[[#This Row],[Cost per unit]]*[1]!data[[#This Row],[Units]]</f>
        <v>#REF!</v>
      </c>
    </row>
    <row r="35" spans="3:26" x14ac:dyDescent="0.3">
      <c r="C35" t="s">
        <v>8</v>
      </c>
      <c r="D35" t="s">
        <v>37</v>
      </c>
      <c r="E35" t="s">
        <v>19</v>
      </c>
      <c r="F35" s="4">
        <v>1771</v>
      </c>
      <c r="G35" s="5">
        <v>204</v>
      </c>
      <c r="H35" s="11">
        <f>_xlfn.XLOOKUP([1]!data[[#This Row],[Product]],[1]!products[Product],[1]!products[Cost per unit])</f>
        <v>7.64</v>
      </c>
      <c r="I35" s="11" t="e">
        <f>[1]!data[[#This Row],[Cost per unit]]*[1]!data[[#This Row],[Units]]</f>
        <v>#REF!</v>
      </c>
    </row>
    <row r="36" spans="3:26" x14ac:dyDescent="0.3">
      <c r="C36" t="s">
        <v>41</v>
      </c>
      <c r="D36" t="s">
        <v>35</v>
      </c>
      <c r="E36" t="s">
        <v>15</v>
      </c>
      <c r="F36" s="4">
        <v>2114</v>
      </c>
      <c r="G36" s="5">
        <v>186</v>
      </c>
      <c r="H36" s="11">
        <f>_xlfn.XLOOKUP([1]!data[[#This Row],[Product]],[1]!products[Product],[1]!products[Cost per unit])</f>
        <v>11.73</v>
      </c>
      <c r="I36" s="11" t="e">
        <f>[1]!data[[#This Row],[Cost per unit]]*[1]!data[[#This Row],[Units]]</f>
        <v>#REF!</v>
      </c>
    </row>
    <row r="37" spans="3:26" x14ac:dyDescent="0.3">
      <c r="C37" t="s">
        <v>41</v>
      </c>
      <c r="D37" t="s">
        <v>36</v>
      </c>
      <c r="E37" t="s">
        <v>13</v>
      </c>
      <c r="F37" s="4">
        <v>10311</v>
      </c>
      <c r="G37" s="5">
        <v>231</v>
      </c>
      <c r="H37" s="11">
        <f>_xlfn.XLOOKUP([1]!data[[#This Row],[Product]],[1]!products[Product],[1]!products[Cost per unit])</f>
        <v>9.33</v>
      </c>
      <c r="I37" s="11" t="e">
        <f>[1]!data[[#This Row],[Cost per unit]]*[1]!data[[#This Row],[Units]]</f>
        <v>#REF!</v>
      </c>
    </row>
    <row r="38" spans="3:26" x14ac:dyDescent="0.3">
      <c r="C38" t="s">
        <v>3</v>
      </c>
      <c r="D38" t="s">
        <v>39</v>
      </c>
      <c r="E38" t="s">
        <v>16</v>
      </c>
      <c r="F38" s="4">
        <v>21</v>
      </c>
      <c r="G38" s="5">
        <v>168</v>
      </c>
      <c r="H38" s="11">
        <f>_xlfn.XLOOKUP([1]!data[[#This Row],[Product]],[1]!products[Product],[1]!products[Cost per unit])</f>
        <v>8.7899999999999991</v>
      </c>
      <c r="I38" s="11" t="e">
        <f>[1]!data[[#This Row],[Cost per unit]]*[1]!data[[#This Row],[Units]]</f>
        <v>#REF!</v>
      </c>
    </row>
    <row r="39" spans="3:26" x14ac:dyDescent="0.3">
      <c r="C39" t="s">
        <v>10</v>
      </c>
      <c r="D39" t="s">
        <v>35</v>
      </c>
      <c r="E39" t="s">
        <v>20</v>
      </c>
      <c r="F39" s="4">
        <v>1974</v>
      </c>
      <c r="G39" s="5">
        <v>195</v>
      </c>
      <c r="H39" s="11">
        <f>_xlfn.XLOOKUP([1]!data[[#This Row],[Product]],[1]!products[Product],[1]!products[Cost per unit])</f>
        <v>10.62</v>
      </c>
      <c r="I39" s="11" t="e">
        <f>[1]!data[[#This Row],[Cost per unit]]*[1]!data[[#This Row],[Units]]</f>
        <v>#REF!</v>
      </c>
    </row>
    <row r="40" spans="3:26" x14ac:dyDescent="0.3">
      <c r="C40" t="s">
        <v>5</v>
      </c>
      <c r="D40" t="s">
        <v>36</v>
      </c>
      <c r="E40" t="s">
        <v>23</v>
      </c>
      <c r="F40" s="4">
        <v>6314</v>
      </c>
      <c r="G40" s="5">
        <v>15</v>
      </c>
      <c r="H40" s="11">
        <f>_xlfn.XLOOKUP([1]!data[[#This Row],[Product]],[1]!products[Product],[1]!products[Cost per unit])</f>
        <v>6.49</v>
      </c>
      <c r="I40" s="11" t="e">
        <f>[1]!data[[#This Row],[Cost per unit]]*[1]!data[[#This Row],[Units]]</f>
        <v>#REF!</v>
      </c>
    </row>
    <row r="41" spans="3:26" x14ac:dyDescent="0.3">
      <c r="C41" t="s">
        <v>10</v>
      </c>
      <c r="D41" t="s">
        <v>37</v>
      </c>
      <c r="E41" t="s">
        <v>23</v>
      </c>
      <c r="F41" s="4">
        <v>4683</v>
      </c>
      <c r="G41" s="5">
        <v>30</v>
      </c>
      <c r="H41" s="11">
        <f>_xlfn.XLOOKUP([1]!data[[#This Row],[Product]],[1]!products[Product],[1]!products[Cost per unit])</f>
        <v>6.49</v>
      </c>
      <c r="I41" s="11" t="e">
        <f>[1]!data[[#This Row],[Cost per unit]]*[1]!data[[#This Row],[Units]]</f>
        <v>#REF!</v>
      </c>
    </row>
    <row r="42" spans="3:26" x14ac:dyDescent="0.3">
      <c r="C42" t="s">
        <v>41</v>
      </c>
      <c r="D42" t="s">
        <v>37</v>
      </c>
      <c r="E42" t="s">
        <v>24</v>
      </c>
      <c r="F42" s="4">
        <v>6398</v>
      </c>
      <c r="G42" s="5">
        <v>102</v>
      </c>
      <c r="H42" s="11">
        <f>_xlfn.XLOOKUP([1]!data[[#This Row],[Product]],[1]!products[Product],[1]!products[Cost per unit])</f>
        <v>4.97</v>
      </c>
      <c r="I42" s="11" t="e">
        <f>[1]!data[[#This Row],[Cost per unit]]*[1]!data[[#This Row],[Units]]</f>
        <v>#REF!</v>
      </c>
    </row>
    <row r="43" spans="3:26" x14ac:dyDescent="0.3">
      <c r="C43" t="s">
        <v>2</v>
      </c>
      <c r="D43" t="s">
        <v>35</v>
      </c>
      <c r="E43" t="s">
        <v>19</v>
      </c>
      <c r="F43" s="4">
        <v>553</v>
      </c>
      <c r="G43" s="5">
        <v>15</v>
      </c>
      <c r="H43" s="11">
        <f>_xlfn.XLOOKUP([1]!data[[#This Row],[Product]],[1]!products[Product],[1]!products[Cost per unit])</f>
        <v>7.64</v>
      </c>
      <c r="I43" s="11" t="e">
        <f>[1]!data[[#This Row],[Cost per unit]]*[1]!data[[#This Row],[Units]]</f>
        <v>#REF!</v>
      </c>
    </row>
    <row r="44" spans="3:26" x14ac:dyDescent="0.3">
      <c r="C44" t="s">
        <v>8</v>
      </c>
      <c r="D44" t="s">
        <v>39</v>
      </c>
      <c r="E44" t="s">
        <v>30</v>
      </c>
      <c r="F44" s="4">
        <v>7021</v>
      </c>
      <c r="G44" s="5">
        <v>183</v>
      </c>
      <c r="H44" s="11">
        <f>_xlfn.XLOOKUP([1]!data[[#This Row],[Product]],[1]!products[Product],[1]!products[Cost per unit])</f>
        <v>14.49</v>
      </c>
      <c r="I44" s="11" t="e">
        <f>[1]!data[[#This Row],[Cost per unit]]*[1]!data[[#This Row],[Units]]</f>
        <v>#REF!</v>
      </c>
    </row>
    <row r="45" spans="3:26" x14ac:dyDescent="0.3">
      <c r="C45" t="s">
        <v>40</v>
      </c>
      <c r="D45" t="s">
        <v>39</v>
      </c>
      <c r="E45" t="s">
        <v>22</v>
      </c>
      <c r="F45" s="4">
        <v>5817</v>
      </c>
      <c r="G45" s="5">
        <v>12</v>
      </c>
      <c r="H45" s="11">
        <f>_xlfn.XLOOKUP([1]!data[[#This Row],[Product]],[1]!products[Product],[1]!products[Cost per unit])</f>
        <v>9.77</v>
      </c>
      <c r="I45" s="11" t="e">
        <f>[1]!data[[#This Row],[Cost per unit]]*[1]!data[[#This Row],[Units]]</f>
        <v>#REF!</v>
      </c>
    </row>
    <row r="46" spans="3:26" x14ac:dyDescent="0.3">
      <c r="C46" t="s">
        <v>41</v>
      </c>
      <c r="D46" t="s">
        <v>39</v>
      </c>
      <c r="E46" t="s">
        <v>14</v>
      </c>
      <c r="F46" s="4">
        <v>3976</v>
      </c>
      <c r="G46" s="5">
        <v>72</v>
      </c>
      <c r="H46" s="11">
        <f>_xlfn.XLOOKUP([1]!data[[#This Row],[Product]],[1]!products[Product],[1]!products[Cost per unit])</f>
        <v>11.7</v>
      </c>
      <c r="I46" s="11" t="e">
        <f>[1]!data[[#This Row],[Cost per unit]]*[1]!data[[#This Row],[Units]]</f>
        <v>#REF!</v>
      </c>
    </row>
    <row r="47" spans="3:26" x14ac:dyDescent="0.3">
      <c r="C47" t="s">
        <v>6</v>
      </c>
      <c r="D47" t="s">
        <v>38</v>
      </c>
      <c r="E47" t="s">
        <v>27</v>
      </c>
      <c r="F47" s="4">
        <v>1134</v>
      </c>
      <c r="G47" s="5">
        <v>282</v>
      </c>
      <c r="H47" s="11">
        <f>_xlfn.XLOOKUP([1]!data[[#This Row],[Product]],[1]!products[Product],[1]!products[Cost per unit])</f>
        <v>16.73</v>
      </c>
      <c r="I47" s="11" t="e">
        <f>[1]!data[[#This Row],[Cost per unit]]*[1]!data[[#This Row],[Units]]</f>
        <v>#REF!</v>
      </c>
    </row>
    <row r="48" spans="3:26" x14ac:dyDescent="0.3">
      <c r="C48" t="s">
        <v>2</v>
      </c>
      <c r="D48" t="s">
        <v>39</v>
      </c>
      <c r="E48" t="s">
        <v>28</v>
      </c>
      <c r="F48" s="4">
        <v>6027</v>
      </c>
      <c r="G48" s="5">
        <v>144</v>
      </c>
      <c r="H48" s="11">
        <f>_xlfn.XLOOKUP([1]!data[[#This Row],[Product]],[1]!products[Product],[1]!products[Cost per unit])</f>
        <v>10.38</v>
      </c>
      <c r="I48" s="11" t="e">
        <f>[1]!data[[#This Row],[Cost per unit]]*[1]!data[[#This Row],[Units]]</f>
        <v>#REF!</v>
      </c>
    </row>
    <row r="49" spans="3:9" x14ac:dyDescent="0.3">
      <c r="C49" t="s">
        <v>6</v>
      </c>
      <c r="D49" t="s">
        <v>37</v>
      </c>
      <c r="E49" t="s">
        <v>16</v>
      </c>
      <c r="F49" s="4">
        <v>1904</v>
      </c>
      <c r="G49" s="5">
        <v>405</v>
      </c>
      <c r="H49" s="11">
        <f>_xlfn.XLOOKUP([1]!data[[#This Row],[Product]],[1]!products[Product],[1]!products[Cost per unit])</f>
        <v>8.7899999999999991</v>
      </c>
      <c r="I49" s="11" t="e">
        <f>[1]!data[[#This Row],[Cost per unit]]*[1]!data[[#This Row],[Units]]</f>
        <v>#REF!</v>
      </c>
    </row>
    <row r="50" spans="3:9" x14ac:dyDescent="0.3">
      <c r="C50" t="s">
        <v>7</v>
      </c>
      <c r="D50" t="s">
        <v>34</v>
      </c>
      <c r="E50" t="s">
        <v>32</v>
      </c>
      <c r="F50" s="4">
        <v>3262</v>
      </c>
      <c r="G50" s="5">
        <v>75</v>
      </c>
      <c r="H50" s="11">
        <f>_xlfn.XLOOKUP([1]!data[[#This Row],[Product]],[1]!products[Product],[1]!products[Cost per unit])</f>
        <v>8.65</v>
      </c>
      <c r="I50" s="11" t="e">
        <f>[1]!data[[#This Row],[Cost per unit]]*[1]!data[[#This Row],[Units]]</f>
        <v>#REF!</v>
      </c>
    </row>
    <row r="51" spans="3:9" x14ac:dyDescent="0.3">
      <c r="C51" t="s">
        <v>40</v>
      </c>
      <c r="D51" t="s">
        <v>34</v>
      </c>
      <c r="E51" t="s">
        <v>27</v>
      </c>
      <c r="F51" s="4">
        <v>2289</v>
      </c>
      <c r="G51" s="5">
        <v>135</v>
      </c>
      <c r="H51" s="11">
        <f>_xlfn.XLOOKUP([1]!data[[#This Row],[Product]],[1]!products[Product],[1]!products[Cost per unit])</f>
        <v>16.73</v>
      </c>
      <c r="I51" s="11" t="e">
        <f>[1]!data[[#This Row],[Cost per unit]]*[1]!data[[#This Row],[Units]]</f>
        <v>#REF!</v>
      </c>
    </row>
    <row r="52" spans="3:9" x14ac:dyDescent="0.3">
      <c r="C52" t="s">
        <v>5</v>
      </c>
      <c r="D52" t="s">
        <v>34</v>
      </c>
      <c r="E52" t="s">
        <v>27</v>
      </c>
      <c r="F52" s="4">
        <v>6986</v>
      </c>
      <c r="G52" s="5">
        <v>21</v>
      </c>
      <c r="H52" s="11">
        <f>_xlfn.XLOOKUP([1]!data[[#This Row],[Product]],[1]!products[Product],[1]!products[Cost per unit])</f>
        <v>16.73</v>
      </c>
      <c r="I52" s="11" t="e">
        <f>[1]!data[[#This Row],[Cost per unit]]*[1]!data[[#This Row],[Units]]</f>
        <v>#REF!</v>
      </c>
    </row>
    <row r="53" spans="3:9" x14ac:dyDescent="0.3">
      <c r="C53" t="s">
        <v>2</v>
      </c>
      <c r="D53" t="s">
        <v>38</v>
      </c>
      <c r="E53" t="s">
        <v>23</v>
      </c>
      <c r="F53" s="4">
        <v>4417</v>
      </c>
      <c r="G53" s="5">
        <v>153</v>
      </c>
      <c r="H53" s="11">
        <f>_xlfn.XLOOKUP([1]!data[[#This Row],[Product]],[1]!products[Product],[1]!products[Cost per unit])</f>
        <v>6.49</v>
      </c>
      <c r="I53" s="11" t="e">
        <f>[1]!data[[#This Row],[Cost per unit]]*[1]!data[[#This Row],[Units]]</f>
        <v>#REF!</v>
      </c>
    </row>
    <row r="54" spans="3:9" x14ac:dyDescent="0.3">
      <c r="C54" t="s">
        <v>6</v>
      </c>
      <c r="D54" t="s">
        <v>34</v>
      </c>
      <c r="E54" t="s">
        <v>15</v>
      </c>
      <c r="F54" s="4">
        <v>1442</v>
      </c>
      <c r="G54" s="5">
        <v>15</v>
      </c>
      <c r="H54" s="11">
        <f>_xlfn.XLOOKUP([1]!data[[#This Row],[Product]],[1]!products[Product],[1]!products[Cost per unit])</f>
        <v>11.73</v>
      </c>
      <c r="I54" s="11" t="e">
        <f>[1]!data[[#This Row],[Cost per unit]]*[1]!data[[#This Row],[Units]]</f>
        <v>#REF!</v>
      </c>
    </row>
    <row r="55" spans="3:9" x14ac:dyDescent="0.3">
      <c r="C55" t="s">
        <v>3</v>
      </c>
      <c r="D55" t="s">
        <v>35</v>
      </c>
      <c r="E55" t="s">
        <v>14</v>
      </c>
      <c r="F55" s="4">
        <v>2415</v>
      </c>
      <c r="G55" s="5">
        <v>255</v>
      </c>
      <c r="H55" s="11">
        <f>_xlfn.XLOOKUP([1]!data[[#This Row],[Product]],[1]!products[Product],[1]!products[Cost per unit])</f>
        <v>11.7</v>
      </c>
      <c r="I55" s="11" t="e">
        <f>[1]!data[[#This Row],[Cost per unit]]*[1]!data[[#This Row],[Units]]</f>
        <v>#REF!</v>
      </c>
    </row>
    <row r="56" spans="3:9" x14ac:dyDescent="0.3">
      <c r="C56" t="s">
        <v>2</v>
      </c>
      <c r="D56" t="s">
        <v>37</v>
      </c>
      <c r="E56" t="s">
        <v>19</v>
      </c>
      <c r="F56" s="4">
        <v>238</v>
      </c>
      <c r="G56" s="5">
        <v>18</v>
      </c>
      <c r="H56" s="11">
        <f>_xlfn.XLOOKUP([1]!data[[#This Row],[Product]],[1]!products[Product],[1]!products[Cost per unit])</f>
        <v>7.64</v>
      </c>
      <c r="I56" s="11" t="e">
        <f>[1]!data[[#This Row],[Cost per unit]]*[1]!data[[#This Row],[Units]]</f>
        <v>#REF!</v>
      </c>
    </row>
    <row r="57" spans="3:9" x14ac:dyDescent="0.3">
      <c r="C57" t="s">
        <v>6</v>
      </c>
      <c r="D57" t="s">
        <v>37</v>
      </c>
      <c r="E57" t="s">
        <v>23</v>
      </c>
      <c r="F57" s="4">
        <v>4949</v>
      </c>
      <c r="G57" s="5">
        <v>189</v>
      </c>
      <c r="H57" s="11">
        <f>_xlfn.XLOOKUP([1]!data[[#This Row],[Product]],[1]!products[Product],[1]!products[Cost per unit])</f>
        <v>6.49</v>
      </c>
      <c r="I57" s="11" t="e">
        <f>[1]!data[[#This Row],[Cost per unit]]*[1]!data[[#This Row],[Units]]</f>
        <v>#REF!</v>
      </c>
    </row>
    <row r="58" spans="3:9" x14ac:dyDescent="0.3">
      <c r="C58" t="s">
        <v>5</v>
      </c>
      <c r="D58" t="s">
        <v>38</v>
      </c>
      <c r="E58" t="s">
        <v>32</v>
      </c>
      <c r="F58" s="4">
        <v>5075</v>
      </c>
      <c r="G58" s="5">
        <v>21</v>
      </c>
      <c r="H58" s="11">
        <f>_xlfn.XLOOKUP([1]!data[[#This Row],[Product]],[1]!products[Product],[1]!products[Cost per unit])</f>
        <v>8.65</v>
      </c>
      <c r="I58" s="11" t="e">
        <f>[1]!data[[#This Row],[Cost per unit]]*[1]!data[[#This Row],[Units]]</f>
        <v>#REF!</v>
      </c>
    </row>
    <row r="59" spans="3:9" x14ac:dyDescent="0.3">
      <c r="C59" t="s">
        <v>3</v>
      </c>
      <c r="D59" t="s">
        <v>36</v>
      </c>
      <c r="E59" t="s">
        <v>16</v>
      </c>
      <c r="F59" s="4">
        <v>9198</v>
      </c>
      <c r="G59" s="5">
        <v>36</v>
      </c>
      <c r="H59" s="11">
        <f>_xlfn.XLOOKUP([1]!data[[#This Row],[Product]],[1]!products[Product],[1]!products[Cost per unit])</f>
        <v>8.7899999999999991</v>
      </c>
      <c r="I59" s="11" t="e">
        <f>[1]!data[[#This Row],[Cost per unit]]*[1]!data[[#This Row],[Units]]</f>
        <v>#REF!</v>
      </c>
    </row>
    <row r="60" spans="3:9" x14ac:dyDescent="0.3">
      <c r="C60" t="s">
        <v>6</v>
      </c>
      <c r="D60" t="s">
        <v>34</v>
      </c>
      <c r="E60" t="s">
        <v>29</v>
      </c>
      <c r="F60" s="4">
        <v>3339</v>
      </c>
      <c r="G60" s="5">
        <v>75</v>
      </c>
      <c r="H60" s="11">
        <f>_xlfn.XLOOKUP([1]!data[[#This Row],[Product]],[1]!products[Product],[1]!products[Cost per unit])</f>
        <v>7.16</v>
      </c>
      <c r="I60" s="11" t="e">
        <f>[1]!data[[#This Row],[Cost per unit]]*[1]!data[[#This Row],[Units]]</f>
        <v>#REF!</v>
      </c>
    </row>
    <row r="61" spans="3:9" x14ac:dyDescent="0.3">
      <c r="C61" t="s">
        <v>40</v>
      </c>
      <c r="D61" t="s">
        <v>34</v>
      </c>
      <c r="E61" t="s">
        <v>17</v>
      </c>
      <c r="F61" s="4">
        <v>5019</v>
      </c>
      <c r="G61" s="5">
        <v>156</v>
      </c>
      <c r="H61" s="11">
        <f>_xlfn.XLOOKUP([1]!data[[#This Row],[Product]],[1]!products[Product],[1]!products[Cost per unit])</f>
        <v>3.11</v>
      </c>
      <c r="I61" s="11" t="e">
        <f>[1]!data[[#This Row],[Cost per unit]]*[1]!data[[#This Row],[Units]]</f>
        <v>#REF!</v>
      </c>
    </row>
    <row r="62" spans="3:9" x14ac:dyDescent="0.3">
      <c r="C62" t="s">
        <v>5</v>
      </c>
      <c r="D62" t="s">
        <v>36</v>
      </c>
      <c r="E62" t="s">
        <v>16</v>
      </c>
      <c r="F62" s="4">
        <v>16184</v>
      </c>
      <c r="G62" s="5">
        <v>39</v>
      </c>
      <c r="H62" s="11">
        <f>_xlfn.XLOOKUP([1]!data[[#This Row],[Product]],[1]!products[Product],[1]!products[Cost per unit])</f>
        <v>8.7899999999999991</v>
      </c>
      <c r="I62" s="11" t="e">
        <f>[1]!data[[#This Row],[Cost per unit]]*[1]!data[[#This Row],[Units]]</f>
        <v>#REF!</v>
      </c>
    </row>
    <row r="63" spans="3:9" x14ac:dyDescent="0.3">
      <c r="C63" t="s">
        <v>6</v>
      </c>
      <c r="D63" t="s">
        <v>36</v>
      </c>
      <c r="E63" t="s">
        <v>21</v>
      </c>
      <c r="F63" s="4">
        <v>497</v>
      </c>
      <c r="G63" s="5">
        <v>63</v>
      </c>
      <c r="H63" s="11">
        <f>_xlfn.XLOOKUP([1]!data[[#This Row],[Product]],[1]!products[Product],[1]!products[Cost per unit])</f>
        <v>9</v>
      </c>
      <c r="I63" s="11" t="e">
        <f>[1]!data[[#This Row],[Cost per unit]]*[1]!data[[#This Row],[Units]]</f>
        <v>#REF!</v>
      </c>
    </row>
    <row r="64" spans="3:9" x14ac:dyDescent="0.3">
      <c r="C64" t="s">
        <v>2</v>
      </c>
      <c r="D64" t="s">
        <v>36</v>
      </c>
      <c r="E64" t="s">
        <v>29</v>
      </c>
      <c r="F64" s="4">
        <v>8211</v>
      </c>
      <c r="G64" s="5">
        <v>75</v>
      </c>
      <c r="H64" s="11">
        <f>_xlfn.XLOOKUP([1]!data[[#This Row],[Product]],[1]!products[Product],[1]!products[Cost per unit])</f>
        <v>7.16</v>
      </c>
      <c r="I64" s="11" t="e">
        <f>[1]!data[[#This Row],[Cost per unit]]*[1]!data[[#This Row],[Units]]</f>
        <v>#REF!</v>
      </c>
    </row>
    <row r="65" spans="3:9" x14ac:dyDescent="0.3">
      <c r="C65" t="s">
        <v>2</v>
      </c>
      <c r="D65" t="s">
        <v>38</v>
      </c>
      <c r="E65" t="s">
        <v>28</v>
      </c>
      <c r="F65" s="4">
        <v>6580</v>
      </c>
      <c r="G65" s="5">
        <v>183</v>
      </c>
      <c r="H65" s="11">
        <f>_xlfn.XLOOKUP([1]!data[[#This Row],[Product]],[1]!products[Product],[1]!products[Cost per unit])</f>
        <v>10.38</v>
      </c>
      <c r="I65" s="11" t="e">
        <f>[1]!data[[#This Row],[Cost per unit]]*[1]!data[[#This Row],[Units]]</f>
        <v>#REF!</v>
      </c>
    </row>
    <row r="66" spans="3:9" x14ac:dyDescent="0.3">
      <c r="C66" t="s">
        <v>41</v>
      </c>
      <c r="D66" t="s">
        <v>35</v>
      </c>
      <c r="E66" t="s">
        <v>13</v>
      </c>
      <c r="F66" s="4">
        <v>4760</v>
      </c>
      <c r="G66" s="5">
        <v>69</v>
      </c>
      <c r="H66" s="11">
        <f>_xlfn.XLOOKUP([1]!data[[#This Row],[Product]],[1]!products[Product],[1]!products[Cost per unit])</f>
        <v>9.33</v>
      </c>
      <c r="I66" s="11" t="e">
        <f>[1]!data[[#This Row],[Cost per unit]]*[1]!data[[#This Row],[Units]]</f>
        <v>#REF!</v>
      </c>
    </row>
    <row r="67" spans="3:9" x14ac:dyDescent="0.3">
      <c r="C67" t="s">
        <v>40</v>
      </c>
      <c r="D67" t="s">
        <v>36</v>
      </c>
      <c r="E67" t="s">
        <v>25</v>
      </c>
      <c r="F67" s="4">
        <v>5439</v>
      </c>
      <c r="G67" s="5">
        <v>30</v>
      </c>
      <c r="H67" s="11">
        <f>_xlfn.XLOOKUP([1]!data[[#This Row],[Product]],[1]!products[Product],[1]!products[Cost per unit])</f>
        <v>13.15</v>
      </c>
      <c r="I67" s="11" t="e">
        <f>[1]!data[[#This Row],[Cost per unit]]*[1]!data[[#This Row],[Units]]</f>
        <v>#REF!</v>
      </c>
    </row>
    <row r="68" spans="3:9" x14ac:dyDescent="0.3">
      <c r="C68" t="s">
        <v>41</v>
      </c>
      <c r="D68" t="s">
        <v>34</v>
      </c>
      <c r="E68" t="s">
        <v>17</v>
      </c>
      <c r="F68" s="4">
        <v>1463</v>
      </c>
      <c r="G68" s="5">
        <v>39</v>
      </c>
      <c r="H68" s="11">
        <f>_xlfn.XLOOKUP([1]!data[[#This Row],[Product]],[1]!products[Product],[1]!products[Cost per unit])</f>
        <v>3.11</v>
      </c>
      <c r="I68" s="11" t="e">
        <f>[1]!data[[#This Row],[Cost per unit]]*[1]!data[[#This Row],[Units]]</f>
        <v>#REF!</v>
      </c>
    </row>
    <row r="69" spans="3:9" x14ac:dyDescent="0.3">
      <c r="C69" t="s">
        <v>3</v>
      </c>
      <c r="D69" t="s">
        <v>34</v>
      </c>
      <c r="E69" t="s">
        <v>32</v>
      </c>
      <c r="F69" s="4">
        <v>7777</v>
      </c>
      <c r="G69" s="5">
        <v>504</v>
      </c>
      <c r="H69" s="11">
        <f>_xlfn.XLOOKUP([1]!data[[#This Row],[Product]],[1]!products[Product],[1]!products[Cost per unit])</f>
        <v>8.65</v>
      </c>
      <c r="I69" s="11" t="e">
        <f>[1]!data[[#This Row],[Cost per unit]]*[1]!data[[#This Row],[Units]]</f>
        <v>#REF!</v>
      </c>
    </row>
    <row r="70" spans="3:9" x14ac:dyDescent="0.3">
      <c r="C70" t="s">
        <v>9</v>
      </c>
      <c r="D70" t="s">
        <v>37</v>
      </c>
      <c r="E70" t="s">
        <v>29</v>
      </c>
      <c r="F70" s="4">
        <v>1085</v>
      </c>
      <c r="G70" s="5">
        <v>273</v>
      </c>
      <c r="H70" s="11">
        <f>_xlfn.XLOOKUP([1]!data[[#This Row],[Product]],[1]!products[Product],[1]!products[Cost per unit])</f>
        <v>7.16</v>
      </c>
      <c r="I70" s="11" t="e">
        <f>[1]!data[[#This Row],[Cost per unit]]*[1]!data[[#This Row],[Units]]</f>
        <v>#REF!</v>
      </c>
    </row>
    <row r="71" spans="3:9" x14ac:dyDescent="0.3">
      <c r="C71" t="s">
        <v>5</v>
      </c>
      <c r="D71" t="s">
        <v>37</v>
      </c>
      <c r="E71" t="s">
        <v>31</v>
      </c>
      <c r="F71" s="4">
        <v>182</v>
      </c>
      <c r="G71" s="5">
        <v>48</v>
      </c>
      <c r="H71" s="11">
        <f>_xlfn.XLOOKUP([1]!data[[#This Row],[Product]],[1]!products[Product],[1]!products[Cost per unit])</f>
        <v>5.79</v>
      </c>
      <c r="I71" s="11" t="e">
        <f>[1]!data[[#This Row],[Cost per unit]]*[1]!data[[#This Row],[Units]]</f>
        <v>#REF!</v>
      </c>
    </row>
    <row r="72" spans="3:9" x14ac:dyDescent="0.3">
      <c r="C72" t="s">
        <v>6</v>
      </c>
      <c r="D72" t="s">
        <v>34</v>
      </c>
      <c r="E72" t="s">
        <v>27</v>
      </c>
      <c r="F72" s="4">
        <v>4242</v>
      </c>
      <c r="G72" s="5">
        <v>207</v>
      </c>
      <c r="H72" s="11">
        <f>_xlfn.XLOOKUP([1]!data[[#This Row],[Product]],[1]!products[Product],[1]!products[Cost per unit])</f>
        <v>16.73</v>
      </c>
      <c r="I72" s="11" t="e">
        <f>[1]!data[[#This Row],[Cost per unit]]*[1]!data[[#This Row],[Units]]</f>
        <v>#REF!</v>
      </c>
    </row>
    <row r="73" spans="3:9" x14ac:dyDescent="0.3">
      <c r="C73" t="s">
        <v>6</v>
      </c>
      <c r="D73" t="s">
        <v>36</v>
      </c>
      <c r="E73" t="s">
        <v>32</v>
      </c>
      <c r="F73" s="4">
        <v>6118</v>
      </c>
      <c r="G73" s="5">
        <v>9</v>
      </c>
      <c r="H73" s="11">
        <f>_xlfn.XLOOKUP([1]!data[[#This Row],[Product]],[1]!products[Product],[1]!products[Cost per unit])</f>
        <v>8.65</v>
      </c>
      <c r="I73" s="11" t="e">
        <f>[1]!data[[#This Row],[Cost per unit]]*[1]!data[[#This Row],[Units]]</f>
        <v>#REF!</v>
      </c>
    </row>
    <row r="74" spans="3:9" x14ac:dyDescent="0.3">
      <c r="C74" t="s">
        <v>10</v>
      </c>
      <c r="D74" t="s">
        <v>36</v>
      </c>
      <c r="E74" t="s">
        <v>23</v>
      </c>
      <c r="F74" s="4">
        <v>2317</v>
      </c>
      <c r="G74" s="5">
        <v>261</v>
      </c>
      <c r="H74" s="11">
        <f>_xlfn.XLOOKUP([1]!data[[#This Row],[Product]],[1]!products[Product],[1]!products[Cost per unit])</f>
        <v>6.49</v>
      </c>
      <c r="I74" s="11" t="e">
        <f>[1]!data[[#This Row],[Cost per unit]]*[1]!data[[#This Row],[Units]]</f>
        <v>#REF!</v>
      </c>
    </row>
    <row r="75" spans="3:9" x14ac:dyDescent="0.3">
      <c r="C75" t="s">
        <v>6</v>
      </c>
      <c r="D75" t="s">
        <v>38</v>
      </c>
      <c r="E75" t="s">
        <v>16</v>
      </c>
      <c r="F75" s="4">
        <v>938</v>
      </c>
      <c r="G75" s="5">
        <v>6</v>
      </c>
      <c r="H75" s="11">
        <f>_xlfn.XLOOKUP([1]!data[[#This Row],[Product]],[1]!products[Product],[1]!products[Cost per unit])</f>
        <v>8.7899999999999991</v>
      </c>
      <c r="I75" s="11" t="e">
        <f>[1]!data[[#This Row],[Cost per unit]]*[1]!data[[#This Row],[Units]]</f>
        <v>#REF!</v>
      </c>
    </row>
    <row r="76" spans="3:9" x14ac:dyDescent="0.3">
      <c r="C76" t="s">
        <v>8</v>
      </c>
      <c r="D76" t="s">
        <v>37</v>
      </c>
      <c r="E76" t="s">
        <v>15</v>
      </c>
      <c r="F76" s="4">
        <v>9709</v>
      </c>
      <c r="G76" s="5">
        <v>30</v>
      </c>
      <c r="H76" s="11">
        <f>_xlfn.XLOOKUP([1]!data[[#This Row],[Product]],[1]!products[Product],[1]!products[Cost per unit])</f>
        <v>11.73</v>
      </c>
      <c r="I76" s="11" t="e">
        <f>[1]!data[[#This Row],[Cost per unit]]*[1]!data[[#This Row],[Units]]</f>
        <v>#REF!</v>
      </c>
    </row>
    <row r="77" spans="3:9" x14ac:dyDescent="0.3">
      <c r="C77" t="s">
        <v>7</v>
      </c>
      <c r="D77" t="s">
        <v>34</v>
      </c>
      <c r="E77" t="s">
        <v>20</v>
      </c>
      <c r="F77" s="4">
        <v>2205</v>
      </c>
      <c r="G77" s="5">
        <v>138</v>
      </c>
      <c r="H77" s="11">
        <f>_xlfn.XLOOKUP([1]!data[[#This Row],[Product]],[1]!products[Product],[1]!products[Cost per unit])</f>
        <v>10.62</v>
      </c>
      <c r="I77" s="11" t="e">
        <f>[1]!data[[#This Row],[Cost per unit]]*[1]!data[[#This Row],[Units]]</f>
        <v>#REF!</v>
      </c>
    </row>
    <row r="78" spans="3:9" x14ac:dyDescent="0.3">
      <c r="C78" t="s">
        <v>7</v>
      </c>
      <c r="D78" t="s">
        <v>37</v>
      </c>
      <c r="E78" t="s">
        <v>17</v>
      </c>
      <c r="F78" s="4">
        <v>4487</v>
      </c>
      <c r="G78" s="5">
        <v>111</v>
      </c>
      <c r="H78" s="11">
        <f>_xlfn.XLOOKUP([1]!data[[#This Row],[Product]],[1]!products[Product],[1]!products[Cost per unit])</f>
        <v>3.11</v>
      </c>
      <c r="I78" s="11" t="e">
        <f>[1]!data[[#This Row],[Cost per unit]]*[1]!data[[#This Row],[Units]]</f>
        <v>#REF!</v>
      </c>
    </row>
    <row r="79" spans="3:9" x14ac:dyDescent="0.3">
      <c r="C79" t="s">
        <v>5</v>
      </c>
      <c r="D79" t="s">
        <v>35</v>
      </c>
      <c r="E79" t="s">
        <v>18</v>
      </c>
      <c r="F79" s="4">
        <v>2415</v>
      </c>
      <c r="G79" s="5">
        <v>15</v>
      </c>
      <c r="H79" s="11">
        <f>_xlfn.XLOOKUP([1]!data[[#This Row],[Product]],[1]!products[Product],[1]!products[Cost per unit])</f>
        <v>6.47</v>
      </c>
      <c r="I79" s="11" t="e">
        <f>[1]!data[[#This Row],[Cost per unit]]*[1]!data[[#This Row],[Units]]</f>
        <v>#REF!</v>
      </c>
    </row>
    <row r="80" spans="3:9" x14ac:dyDescent="0.3">
      <c r="C80" t="s">
        <v>40</v>
      </c>
      <c r="D80" t="s">
        <v>34</v>
      </c>
      <c r="E80" t="s">
        <v>19</v>
      </c>
      <c r="F80" s="4">
        <v>4018</v>
      </c>
      <c r="G80" s="5">
        <v>162</v>
      </c>
      <c r="H80" s="11">
        <f>_xlfn.XLOOKUP([1]!data[[#This Row],[Product]],[1]!products[Product],[1]!products[Cost per unit])</f>
        <v>7.64</v>
      </c>
      <c r="I80" s="11" t="e">
        <f>[1]!data[[#This Row],[Cost per unit]]*[1]!data[[#This Row],[Units]]</f>
        <v>#REF!</v>
      </c>
    </row>
    <row r="81" spans="3:9" x14ac:dyDescent="0.3">
      <c r="C81" t="s">
        <v>5</v>
      </c>
      <c r="D81" t="s">
        <v>34</v>
      </c>
      <c r="E81" t="s">
        <v>19</v>
      </c>
      <c r="F81" s="4">
        <v>861</v>
      </c>
      <c r="G81" s="5">
        <v>195</v>
      </c>
      <c r="H81" s="11">
        <f>_xlfn.XLOOKUP([1]!data[[#This Row],[Product]],[1]!products[Product],[1]!products[Cost per unit])</f>
        <v>7.64</v>
      </c>
      <c r="I81" s="11" t="e">
        <f>[1]!data[[#This Row],[Cost per unit]]*[1]!data[[#This Row],[Units]]</f>
        <v>#REF!</v>
      </c>
    </row>
    <row r="82" spans="3:9" x14ac:dyDescent="0.3">
      <c r="C82" t="s">
        <v>10</v>
      </c>
      <c r="D82" t="s">
        <v>38</v>
      </c>
      <c r="E82" t="s">
        <v>14</v>
      </c>
      <c r="F82" s="4">
        <v>5586</v>
      </c>
      <c r="G82" s="5">
        <v>525</v>
      </c>
      <c r="H82" s="11">
        <f>_xlfn.XLOOKUP([1]!data[[#This Row],[Product]],[1]!products[Product],[1]!products[Cost per unit])</f>
        <v>11.7</v>
      </c>
      <c r="I82" s="11" t="e">
        <f>[1]!data[[#This Row],[Cost per unit]]*[1]!data[[#This Row],[Units]]</f>
        <v>#REF!</v>
      </c>
    </row>
    <row r="83" spans="3:9" x14ac:dyDescent="0.3">
      <c r="C83" t="s">
        <v>7</v>
      </c>
      <c r="D83" t="s">
        <v>34</v>
      </c>
      <c r="E83" t="s">
        <v>33</v>
      </c>
      <c r="F83" s="4">
        <v>2226</v>
      </c>
      <c r="G83" s="5">
        <v>48</v>
      </c>
      <c r="H83" s="11">
        <f>_xlfn.XLOOKUP([1]!data[[#This Row],[Product]],[1]!products[Product],[1]!products[Cost per unit])</f>
        <v>12.37</v>
      </c>
      <c r="I83" s="11" t="e">
        <f>[1]!data[[#This Row],[Cost per unit]]*[1]!data[[#This Row],[Units]]</f>
        <v>#REF!</v>
      </c>
    </row>
    <row r="84" spans="3:9" x14ac:dyDescent="0.3">
      <c r="C84" t="s">
        <v>9</v>
      </c>
      <c r="D84" t="s">
        <v>34</v>
      </c>
      <c r="E84" t="s">
        <v>28</v>
      </c>
      <c r="F84" s="4">
        <v>14329</v>
      </c>
      <c r="G84" s="5">
        <v>150</v>
      </c>
      <c r="H84" s="11">
        <f>_xlfn.XLOOKUP([1]!data[[#This Row],[Product]],[1]!products[Product],[1]!products[Cost per unit])</f>
        <v>10.38</v>
      </c>
      <c r="I84" s="11" t="e">
        <f>[1]!data[[#This Row],[Cost per unit]]*[1]!data[[#This Row],[Units]]</f>
        <v>#REF!</v>
      </c>
    </row>
    <row r="85" spans="3:9" x14ac:dyDescent="0.3">
      <c r="C85" t="s">
        <v>9</v>
      </c>
      <c r="D85" t="s">
        <v>34</v>
      </c>
      <c r="E85" t="s">
        <v>20</v>
      </c>
      <c r="F85" s="4">
        <v>8463</v>
      </c>
      <c r="G85" s="5">
        <v>492</v>
      </c>
      <c r="H85" s="11">
        <f>_xlfn.XLOOKUP([1]!data[[#This Row],[Product]],[1]!products[Product],[1]!products[Cost per unit])</f>
        <v>10.62</v>
      </c>
      <c r="I85" s="11" t="e">
        <f>[1]!data[[#This Row],[Cost per unit]]*[1]!data[[#This Row],[Units]]</f>
        <v>#REF!</v>
      </c>
    </row>
    <row r="86" spans="3:9" x14ac:dyDescent="0.3">
      <c r="C86" t="s">
        <v>5</v>
      </c>
      <c r="D86" t="s">
        <v>34</v>
      </c>
      <c r="E86" t="s">
        <v>29</v>
      </c>
      <c r="F86" s="4">
        <v>2891</v>
      </c>
      <c r="G86" s="5">
        <v>102</v>
      </c>
      <c r="H86" s="11">
        <f>_xlfn.XLOOKUP([1]!data[[#This Row],[Product]],[1]!products[Product],[1]!products[Cost per unit])</f>
        <v>7.16</v>
      </c>
      <c r="I86" s="11" t="e">
        <f>[1]!data[[#This Row],[Cost per unit]]*[1]!data[[#This Row],[Units]]</f>
        <v>#REF!</v>
      </c>
    </row>
    <row r="87" spans="3:9" x14ac:dyDescent="0.3">
      <c r="C87" t="s">
        <v>3</v>
      </c>
      <c r="D87" t="s">
        <v>36</v>
      </c>
      <c r="E87" t="s">
        <v>23</v>
      </c>
      <c r="F87" s="4">
        <v>3773</v>
      </c>
      <c r="G87" s="5">
        <v>165</v>
      </c>
      <c r="H87" s="11">
        <f>_xlfn.XLOOKUP([1]!data[[#This Row],[Product]],[1]!products[Product],[1]!products[Cost per unit])</f>
        <v>6.49</v>
      </c>
      <c r="I87" s="11" t="e">
        <f>[1]!data[[#This Row],[Cost per unit]]*[1]!data[[#This Row],[Units]]</f>
        <v>#REF!</v>
      </c>
    </row>
    <row r="88" spans="3:9" x14ac:dyDescent="0.3">
      <c r="C88" t="s">
        <v>41</v>
      </c>
      <c r="D88" t="s">
        <v>36</v>
      </c>
      <c r="E88" t="s">
        <v>28</v>
      </c>
      <c r="F88" s="4">
        <v>854</v>
      </c>
      <c r="G88" s="5">
        <v>309</v>
      </c>
      <c r="H88" s="11">
        <f>_xlfn.XLOOKUP([1]!data[[#This Row],[Product]],[1]!products[Product],[1]!products[Cost per unit])</f>
        <v>10.38</v>
      </c>
      <c r="I88" s="11" t="e">
        <f>[1]!data[[#This Row],[Cost per unit]]*[1]!data[[#This Row],[Units]]</f>
        <v>#REF!</v>
      </c>
    </row>
    <row r="89" spans="3:9" x14ac:dyDescent="0.3">
      <c r="C89" t="s">
        <v>6</v>
      </c>
      <c r="D89" t="s">
        <v>36</v>
      </c>
      <c r="E89" t="s">
        <v>17</v>
      </c>
      <c r="F89" s="4">
        <v>4970</v>
      </c>
      <c r="G89" s="5">
        <v>156</v>
      </c>
      <c r="H89" s="11">
        <f>_xlfn.XLOOKUP([1]!data[[#This Row],[Product]],[1]!products[Product],[1]!products[Cost per unit])</f>
        <v>3.11</v>
      </c>
      <c r="I89" s="11" t="e">
        <f>[1]!data[[#This Row],[Cost per unit]]*[1]!data[[#This Row],[Units]]</f>
        <v>#REF!</v>
      </c>
    </row>
    <row r="90" spans="3:9" x14ac:dyDescent="0.3">
      <c r="C90" t="s">
        <v>9</v>
      </c>
      <c r="D90" t="s">
        <v>35</v>
      </c>
      <c r="E90" t="s">
        <v>26</v>
      </c>
      <c r="F90" s="4">
        <v>98</v>
      </c>
      <c r="G90" s="5">
        <v>159</v>
      </c>
      <c r="H90" s="11">
        <f>_xlfn.XLOOKUP([1]!data[[#This Row],[Product]],[1]!products[Product],[1]!products[Cost per unit])</f>
        <v>5.6</v>
      </c>
      <c r="I90" s="11" t="e">
        <f>[1]!data[[#This Row],[Cost per unit]]*[1]!data[[#This Row],[Units]]</f>
        <v>#REF!</v>
      </c>
    </row>
    <row r="91" spans="3:9" x14ac:dyDescent="0.3">
      <c r="C91" t="s">
        <v>5</v>
      </c>
      <c r="D91" t="s">
        <v>35</v>
      </c>
      <c r="E91" t="s">
        <v>15</v>
      </c>
      <c r="F91" s="4">
        <v>13391</v>
      </c>
      <c r="G91" s="5">
        <v>201</v>
      </c>
      <c r="H91" s="11">
        <f>_xlfn.XLOOKUP([1]!data[[#This Row],[Product]],[1]!products[Product],[1]!products[Cost per unit])</f>
        <v>11.73</v>
      </c>
      <c r="I91" s="11" t="e">
        <f>[1]!data[[#This Row],[Cost per unit]]*[1]!data[[#This Row],[Units]]</f>
        <v>#REF!</v>
      </c>
    </row>
    <row r="92" spans="3:9" x14ac:dyDescent="0.3">
      <c r="C92" t="s">
        <v>8</v>
      </c>
      <c r="D92" t="s">
        <v>39</v>
      </c>
      <c r="E92" t="s">
        <v>31</v>
      </c>
      <c r="F92" s="4">
        <v>8890</v>
      </c>
      <c r="G92" s="5">
        <v>210</v>
      </c>
      <c r="H92" s="11">
        <f>_xlfn.XLOOKUP([1]!data[[#This Row],[Product]],[1]!products[Product],[1]!products[Cost per unit])</f>
        <v>5.79</v>
      </c>
      <c r="I92" s="11" t="e">
        <f>[1]!data[[#This Row],[Cost per unit]]*[1]!data[[#This Row],[Units]]</f>
        <v>#REF!</v>
      </c>
    </row>
    <row r="93" spans="3:9" x14ac:dyDescent="0.3">
      <c r="C93" t="s">
        <v>2</v>
      </c>
      <c r="D93" t="s">
        <v>38</v>
      </c>
      <c r="E93" t="s">
        <v>13</v>
      </c>
      <c r="F93" s="4">
        <v>56</v>
      </c>
      <c r="G93" s="5">
        <v>51</v>
      </c>
      <c r="H93" s="11">
        <f>_xlfn.XLOOKUP([1]!data[[#This Row],[Product]],[1]!products[Product],[1]!products[Cost per unit])</f>
        <v>9.33</v>
      </c>
      <c r="I93" s="11" t="e">
        <f>[1]!data[[#This Row],[Cost per unit]]*[1]!data[[#This Row],[Units]]</f>
        <v>#REF!</v>
      </c>
    </row>
    <row r="94" spans="3:9" x14ac:dyDescent="0.3">
      <c r="C94" t="s">
        <v>3</v>
      </c>
      <c r="D94" t="s">
        <v>36</v>
      </c>
      <c r="E94" t="s">
        <v>25</v>
      </c>
      <c r="F94" s="4">
        <v>3339</v>
      </c>
      <c r="G94" s="5">
        <v>39</v>
      </c>
      <c r="H94" s="11">
        <f>_xlfn.XLOOKUP([1]!data[[#This Row],[Product]],[1]!products[Product],[1]!products[Cost per unit])</f>
        <v>13.15</v>
      </c>
      <c r="I94" s="11" t="e">
        <f>[1]!data[[#This Row],[Cost per unit]]*[1]!data[[#This Row],[Units]]</f>
        <v>#REF!</v>
      </c>
    </row>
    <row r="95" spans="3:9" x14ac:dyDescent="0.3">
      <c r="C95" t="s">
        <v>10</v>
      </c>
      <c r="D95" t="s">
        <v>35</v>
      </c>
      <c r="E95" t="s">
        <v>18</v>
      </c>
      <c r="F95" s="4">
        <v>3808</v>
      </c>
      <c r="G95" s="5">
        <v>279</v>
      </c>
      <c r="H95" s="11">
        <f>_xlfn.XLOOKUP([1]!data[[#This Row],[Product]],[1]!products[Product],[1]!products[Cost per unit])</f>
        <v>6.47</v>
      </c>
      <c r="I95" s="11" t="e">
        <f>[1]!data[[#This Row],[Cost per unit]]*[1]!data[[#This Row],[Units]]</f>
        <v>#REF!</v>
      </c>
    </row>
    <row r="96" spans="3:9" x14ac:dyDescent="0.3">
      <c r="C96" t="s">
        <v>10</v>
      </c>
      <c r="D96" t="s">
        <v>38</v>
      </c>
      <c r="E96" t="s">
        <v>13</v>
      </c>
      <c r="F96" s="4">
        <v>63</v>
      </c>
      <c r="G96" s="5">
        <v>123</v>
      </c>
      <c r="H96" s="11">
        <f>_xlfn.XLOOKUP([1]!data[[#This Row],[Product]],[1]!products[Product],[1]!products[Cost per unit])</f>
        <v>9.33</v>
      </c>
      <c r="I96" s="11" t="e">
        <f>[1]!data[[#This Row],[Cost per unit]]*[1]!data[[#This Row],[Units]]</f>
        <v>#REF!</v>
      </c>
    </row>
    <row r="97" spans="3:9" x14ac:dyDescent="0.3">
      <c r="C97" t="s">
        <v>2</v>
      </c>
      <c r="D97" t="s">
        <v>39</v>
      </c>
      <c r="E97" t="s">
        <v>27</v>
      </c>
      <c r="F97" s="4">
        <v>7812</v>
      </c>
      <c r="G97" s="5">
        <v>81</v>
      </c>
      <c r="H97" s="11">
        <f>_xlfn.XLOOKUP([1]!data[[#This Row],[Product]],[1]!products[Product],[1]!products[Cost per unit])</f>
        <v>16.73</v>
      </c>
      <c r="I97" s="11" t="e">
        <f>[1]!data[[#This Row],[Cost per unit]]*[1]!data[[#This Row],[Units]]</f>
        <v>#REF!</v>
      </c>
    </row>
    <row r="98" spans="3:9" x14ac:dyDescent="0.3">
      <c r="C98" t="s">
        <v>40</v>
      </c>
      <c r="D98" t="s">
        <v>37</v>
      </c>
      <c r="E98" t="s">
        <v>19</v>
      </c>
      <c r="F98" s="4">
        <v>7693</v>
      </c>
      <c r="G98" s="5">
        <v>21</v>
      </c>
      <c r="H98" s="11">
        <f>_xlfn.XLOOKUP([1]!data[[#This Row],[Product]],[1]!products[Product],[1]!products[Cost per unit])</f>
        <v>7.64</v>
      </c>
      <c r="I98" s="11" t="e">
        <f>[1]!data[[#This Row],[Cost per unit]]*[1]!data[[#This Row],[Units]]</f>
        <v>#REF!</v>
      </c>
    </row>
    <row r="99" spans="3:9" x14ac:dyDescent="0.3">
      <c r="C99" t="s">
        <v>3</v>
      </c>
      <c r="D99" t="s">
        <v>36</v>
      </c>
      <c r="E99" t="s">
        <v>28</v>
      </c>
      <c r="F99" s="4">
        <v>973</v>
      </c>
      <c r="G99" s="5">
        <v>162</v>
      </c>
      <c r="H99" s="11">
        <f>_xlfn.XLOOKUP([1]!data[[#This Row],[Product]],[1]!products[Product],[1]!products[Cost per unit])</f>
        <v>10.38</v>
      </c>
      <c r="I99" s="11" t="e">
        <f>[1]!data[[#This Row],[Cost per unit]]*[1]!data[[#This Row],[Units]]</f>
        <v>#REF!</v>
      </c>
    </row>
    <row r="100" spans="3:9" x14ac:dyDescent="0.3">
      <c r="C100" t="s">
        <v>10</v>
      </c>
      <c r="D100" t="s">
        <v>35</v>
      </c>
      <c r="E100" t="s">
        <v>21</v>
      </c>
      <c r="F100" s="4">
        <v>567</v>
      </c>
      <c r="G100" s="5">
        <v>228</v>
      </c>
      <c r="H100" s="11">
        <f>_xlfn.XLOOKUP([1]!data[[#This Row],[Product]],[1]!products[Product],[1]!products[Cost per unit])</f>
        <v>9</v>
      </c>
      <c r="I100" s="11" t="e">
        <f>[1]!data[[#This Row],[Cost per unit]]*[1]!data[[#This Row],[Units]]</f>
        <v>#REF!</v>
      </c>
    </row>
    <row r="101" spans="3:9" x14ac:dyDescent="0.3">
      <c r="C101" t="s">
        <v>10</v>
      </c>
      <c r="D101" t="s">
        <v>36</v>
      </c>
      <c r="E101" t="s">
        <v>29</v>
      </c>
      <c r="F101" s="4">
        <v>2471</v>
      </c>
      <c r="G101" s="5">
        <v>342</v>
      </c>
      <c r="H101" s="11">
        <f>_xlfn.XLOOKUP([1]!data[[#This Row],[Product]],[1]!products[Product],[1]!products[Cost per unit])</f>
        <v>7.16</v>
      </c>
      <c r="I101" s="11" t="e">
        <f>[1]!data[[#This Row],[Cost per unit]]*[1]!data[[#This Row],[Units]]</f>
        <v>#REF!</v>
      </c>
    </row>
    <row r="102" spans="3:9" x14ac:dyDescent="0.3">
      <c r="C102" t="s">
        <v>5</v>
      </c>
      <c r="D102" t="s">
        <v>38</v>
      </c>
      <c r="E102" t="s">
        <v>13</v>
      </c>
      <c r="F102" s="4">
        <v>7189</v>
      </c>
      <c r="G102" s="5">
        <v>54</v>
      </c>
      <c r="H102" s="11">
        <f>_xlfn.XLOOKUP([1]!data[[#This Row],[Product]],[1]!products[Product],[1]!products[Cost per unit])</f>
        <v>9.33</v>
      </c>
      <c r="I102" s="11" t="e">
        <f>[1]!data[[#This Row],[Cost per unit]]*[1]!data[[#This Row],[Units]]</f>
        <v>#REF!</v>
      </c>
    </row>
    <row r="103" spans="3:9" x14ac:dyDescent="0.3">
      <c r="C103" t="s">
        <v>41</v>
      </c>
      <c r="D103" t="s">
        <v>35</v>
      </c>
      <c r="E103" t="s">
        <v>28</v>
      </c>
      <c r="F103" s="4">
        <v>7455</v>
      </c>
      <c r="G103" s="5">
        <v>216</v>
      </c>
      <c r="H103" s="11">
        <f>_xlfn.XLOOKUP([1]!data[[#This Row],[Product]],[1]!products[Product],[1]!products[Cost per unit])</f>
        <v>10.38</v>
      </c>
      <c r="I103" s="11" t="e">
        <f>[1]!data[[#This Row],[Cost per unit]]*[1]!data[[#This Row],[Units]]</f>
        <v>#REF!</v>
      </c>
    </row>
    <row r="104" spans="3:9" x14ac:dyDescent="0.3">
      <c r="C104" t="s">
        <v>3</v>
      </c>
      <c r="D104" t="s">
        <v>34</v>
      </c>
      <c r="E104" t="s">
        <v>26</v>
      </c>
      <c r="F104" s="4">
        <v>3108</v>
      </c>
      <c r="G104" s="5">
        <v>54</v>
      </c>
      <c r="H104" s="11">
        <f>_xlfn.XLOOKUP([1]!data[[#This Row],[Product]],[1]!products[Product],[1]!products[Cost per unit])</f>
        <v>5.6</v>
      </c>
      <c r="I104" s="11" t="e">
        <f>[1]!data[[#This Row],[Cost per unit]]*[1]!data[[#This Row],[Units]]</f>
        <v>#REF!</v>
      </c>
    </row>
    <row r="105" spans="3:9" x14ac:dyDescent="0.3">
      <c r="C105" t="s">
        <v>6</v>
      </c>
      <c r="D105" t="s">
        <v>38</v>
      </c>
      <c r="E105" t="s">
        <v>25</v>
      </c>
      <c r="F105" s="4">
        <v>469</v>
      </c>
      <c r="G105" s="5">
        <v>75</v>
      </c>
      <c r="H105" s="11">
        <f>_xlfn.XLOOKUP([1]!data[[#This Row],[Product]],[1]!products[Product],[1]!products[Cost per unit])</f>
        <v>13.15</v>
      </c>
      <c r="I105" s="11" t="e">
        <f>[1]!data[[#This Row],[Cost per unit]]*[1]!data[[#This Row],[Units]]</f>
        <v>#REF!</v>
      </c>
    </row>
    <row r="106" spans="3:9" x14ac:dyDescent="0.3">
      <c r="C106" t="s">
        <v>9</v>
      </c>
      <c r="D106" t="s">
        <v>37</v>
      </c>
      <c r="E106" t="s">
        <v>23</v>
      </c>
      <c r="F106" s="4">
        <v>2737</v>
      </c>
      <c r="G106" s="5">
        <v>93</v>
      </c>
      <c r="H106" s="11">
        <f>_xlfn.XLOOKUP([1]!data[[#This Row],[Product]],[1]!products[Product],[1]!products[Cost per unit])</f>
        <v>6.49</v>
      </c>
      <c r="I106" s="11" t="e">
        <f>[1]!data[[#This Row],[Cost per unit]]*[1]!data[[#This Row],[Units]]</f>
        <v>#REF!</v>
      </c>
    </row>
    <row r="107" spans="3:9" x14ac:dyDescent="0.3">
      <c r="C107" t="s">
        <v>9</v>
      </c>
      <c r="D107" t="s">
        <v>37</v>
      </c>
      <c r="E107" t="s">
        <v>25</v>
      </c>
      <c r="F107" s="4">
        <v>4305</v>
      </c>
      <c r="G107" s="5">
        <v>156</v>
      </c>
      <c r="H107" s="11">
        <f>_xlfn.XLOOKUP([1]!data[[#This Row],[Product]],[1]!products[Product],[1]!products[Cost per unit])</f>
        <v>13.15</v>
      </c>
      <c r="I107" s="11" t="e">
        <f>[1]!data[[#This Row],[Cost per unit]]*[1]!data[[#This Row],[Units]]</f>
        <v>#REF!</v>
      </c>
    </row>
    <row r="108" spans="3:9" x14ac:dyDescent="0.3">
      <c r="C108" t="s">
        <v>9</v>
      </c>
      <c r="D108" t="s">
        <v>38</v>
      </c>
      <c r="E108" t="s">
        <v>17</v>
      </c>
      <c r="F108" s="4">
        <v>2408</v>
      </c>
      <c r="G108" s="5">
        <v>9</v>
      </c>
      <c r="H108" s="11">
        <f>_xlfn.XLOOKUP([1]!data[[#This Row],[Product]],[1]!products[Product],[1]!products[Cost per unit])</f>
        <v>3.11</v>
      </c>
      <c r="I108" s="11" t="e">
        <f>[1]!data[[#This Row],[Cost per unit]]*[1]!data[[#This Row],[Units]]</f>
        <v>#REF!</v>
      </c>
    </row>
    <row r="109" spans="3:9" x14ac:dyDescent="0.3">
      <c r="C109" t="s">
        <v>3</v>
      </c>
      <c r="D109" t="s">
        <v>36</v>
      </c>
      <c r="E109" t="s">
        <v>19</v>
      </c>
      <c r="F109" s="4">
        <v>1281</v>
      </c>
      <c r="G109" s="5">
        <v>18</v>
      </c>
      <c r="H109" s="11">
        <f>_xlfn.XLOOKUP([1]!data[[#This Row],[Product]],[1]!products[Product],[1]!products[Cost per unit])</f>
        <v>7.64</v>
      </c>
      <c r="I109" s="11" t="e">
        <f>[1]!data[[#This Row],[Cost per unit]]*[1]!data[[#This Row],[Units]]</f>
        <v>#REF!</v>
      </c>
    </row>
    <row r="110" spans="3:9" x14ac:dyDescent="0.3">
      <c r="C110" t="s">
        <v>40</v>
      </c>
      <c r="D110" t="s">
        <v>35</v>
      </c>
      <c r="E110" t="s">
        <v>32</v>
      </c>
      <c r="F110" s="4">
        <v>12348</v>
      </c>
      <c r="G110" s="5">
        <v>234</v>
      </c>
      <c r="H110" s="11">
        <f>_xlfn.XLOOKUP([1]!data[[#This Row],[Product]],[1]!products[Product],[1]!products[Cost per unit])</f>
        <v>8.65</v>
      </c>
      <c r="I110" s="11" t="e">
        <f>[1]!data[[#This Row],[Cost per unit]]*[1]!data[[#This Row],[Units]]</f>
        <v>#REF!</v>
      </c>
    </row>
    <row r="111" spans="3:9" x14ac:dyDescent="0.3">
      <c r="C111" t="s">
        <v>3</v>
      </c>
      <c r="D111" t="s">
        <v>34</v>
      </c>
      <c r="E111" t="s">
        <v>28</v>
      </c>
      <c r="F111" s="4">
        <v>3689</v>
      </c>
      <c r="G111" s="5">
        <v>312</v>
      </c>
      <c r="H111" s="11">
        <f>_xlfn.XLOOKUP([1]!data[[#This Row],[Product]],[1]!products[Product],[1]!products[Cost per unit])</f>
        <v>10.38</v>
      </c>
      <c r="I111" s="11" t="e">
        <f>[1]!data[[#This Row],[Cost per unit]]*[1]!data[[#This Row],[Units]]</f>
        <v>#REF!</v>
      </c>
    </row>
    <row r="112" spans="3:9" x14ac:dyDescent="0.3">
      <c r="C112" t="s">
        <v>7</v>
      </c>
      <c r="D112" t="s">
        <v>36</v>
      </c>
      <c r="E112" t="s">
        <v>19</v>
      </c>
      <c r="F112" s="4">
        <v>2870</v>
      </c>
      <c r="G112" s="5">
        <v>300</v>
      </c>
      <c r="H112" s="11">
        <f>_xlfn.XLOOKUP([1]!data[[#This Row],[Product]],[1]!products[Product],[1]!products[Cost per unit])</f>
        <v>7.64</v>
      </c>
      <c r="I112" s="11" t="e">
        <f>[1]!data[[#This Row],[Cost per unit]]*[1]!data[[#This Row],[Units]]</f>
        <v>#REF!</v>
      </c>
    </row>
    <row r="113" spans="3:9" x14ac:dyDescent="0.3">
      <c r="C113" t="s">
        <v>2</v>
      </c>
      <c r="D113" t="s">
        <v>36</v>
      </c>
      <c r="E113" t="s">
        <v>27</v>
      </c>
      <c r="F113" s="4">
        <v>798</v>
      </c>
      <c r="G113" s="5">
        <v>519</v>
      </c>
      <c r="H113" s="11">
        <f>_xlfn.XLOOKUP([1]!data[[#This Row],[Product]],[1]!products[Product],[1]!products[Cost per unit])</f>
        <v>16.73</v>
      </c>
      <c r="I113" s="11" t="e">
        <f>[1]!data[[#This Row],[Cost per unit]]*[1]!data[[#This Row],[Units]]</f>
        <v>#REF!</v>
      </c>
    </row>
    <row r="114" spans="3:9" x14ac:dyDescent="0.3">
      <c r="C114" t="s">
        <v>41</v>
      </c>
      <c r="D114" t="s">
        <v>37</v>
      </c>
      <c r="E114" t="s">
        <v>21</v>
      </c>
      <c r="F114" s="4">
        <v>2933</v>
      </c>
      <c r="G114" s="5">
        <v>9</v>
      </c>
      <c r="H114" s="11">
        <f>_xlfn.XLOOKUP([1]!data[[#This Row],[Product]],[1]!products[Product],[1]!products[Cost per unit])</f>
        <v>9</v>
      </c>
      <c r="I114" s="11" t="e">
        <f>[1]!data[[#This Row],[Cost per unit]]*[1]!data[[#This Row],[Units]]</f>
        <v>#REF!</v>
      </c>
    </row>
    <row r="115" spans="3:9" x14ac:dyDescent="0.3">
      <c r="C115" t="s">
        <v>5</v>
      </c>
      <c r="D115" t="s">
        <v>35</v>
      </c>
      <c r="E115" t="s">
        <v>4</v>
      </c>
      <c r="F115" s="4">
        <v>2744</v>
      </c>
      <c r="G115" s="5">
        <v>9</v>
      </c>
      <c r="H115" s="11">
        <f>_xlfn.XLOOKUP([1]!data[[#This Row],[Product]],[1]!products[Product],[1]!products[Cost per unit])</f>
        <v>11.88</v>
      </c>
      <c r="I115" s="11" t="e">
        <f>[1]!data[[#This Row],[Cost per unit]]*[1]!data[[#This Row],[Units]]</f>
        <v>#REF!</v>
      </c>
    </row>
    <row r="116" spans="3:9" x14ac:dyDescent="0.3">
      <c r="C116" t="s">
        <v>40</v>
      </c>
      <c r="D116" t="s">
        <v>36</v>
      </c>
      <c r="E116" t="s">
        <v>33</v>
      </c>
      <c r="F116" s="4">
        <v>9772</v>
      </c>
      <c r="G116" s="5">
        <v>90</v>
      </c>
      <c r="H116" s="11">
        <f>_xlfn.XLOOKUP([1]!data[[#This Row],[Product]],[1]!products[Product],[1]!products[Cost per unit])</f>
        <v>12.37</v>
      </c>
      <c r="I116" s="11" t="e">
        <f>[1]!data[[#This Row],[Cost per unit]]*[1]!data[[#This Row],[Units]]</f>
        <v>#REF!</v>
      </c>
    </row>
    <row r="117" spans="3:9" x14ac:dyDescent="0.3">
      <c r="C117" t="s">
        <v>7</v>
      </c>
      <c r="D117" t="s">
        <v>34</v>
      </c>
      <c r="E117" t="s">
        <v>25</v>
      </c>
      <c r="F117" s="4">
        <v>1568</v>
      </c>
      <c r="G117" s="5">
        <v>96</v>
      </c>
      <c r="H117" s="11">
        <f>_xlfn.XLOOKUP([1]!data[[#This Row],[Product]],[1]!products[Product],[1]!products[Cost per unit])</f>
        <v>13.15</v>
      </c>
      <c r="I117" s="11" t="e">
        <f>[1]!data[[#This Row],[Cost per unit]]*[1]!data[[#This Row],[Units]]</f>
        <v>#REF!</v>
      </c>
    </row>
    <row r="118" spans="3:9" x14ac:dyDescent="0.3">
      <c r="C118" t="s">
        <v>2</v>
      </c>
      <c r="D118" t="s">
        <v>36</v>
      </c>
      <c r="E118" t="s">
        <v>16</v>
      </c>
      <c r="F118" s="4">
        <v>11417</v>
      </c>
      <c r="G118" s="5">
        <v>21</v>
      </c>
      <c r="H118" s="11">
        <f>_xlfn.XLOOKUP([1]!data[[#This Row],[Product]],[1]!products[Product],[1]!products[Cost per unit])</f>
        <v>8.7899999999999991</v>
      </c>
      <c r="I118" s="11" t="e">
        <f>[1]!data[[#This Row],[Cost per unit]]*[1]!data[[#This Row],[Units]]</f>
        <v>#REF!</v>
      </c>
    </row>
    <row r="119" spans="3:9" x14ac:dyDescent="0.3">
      <c r="C119" t="s">
        <v>40</v>
      </c>
      <c r="D119" t="s">
        <v>34</v>
      </c>
      <c r="E119" t="s">
        <v>26</v>
      </c>
      <c r="F119" s="4">
        <v>6748</v>
      </c>
      <c r="G119" s="5">
        <v>48</v>
      </c>
      <c r="H119" s="11">
        <f>_xlfn.XLOOKUP([1]!data[[#This Row],[Product]],[1]!products[Product],[1]!products[Cost per unit])</f>
        <v>5.6</v>
      </c>
      <c r="I119" s="11" t="e">
        <f>[1]!data[[#This Row],[Cost per unit]]*[1]!data[[#This Row],[Units]]</f>
        <v>#REF!</v>
      </c>
    </row>
    <row r="120" spans="3:9" x14ac:dyDescent="0.3">
      <c r="C120" t="s">
        <v>10</v>
      </c>
      <c r="D120" t="s">
        <v>36</v>
      </c>
      <c r="E120" t="s">
        <v>27</v>
      </c>
      <c r="F120" s="4">
        <v>1407</v>
      </c>
      <c r="G120" s="5">
        <v>72</v>
      </c>
      <c r="H120" s="11">
        <f>_xlfn.XLOOKUP([1]!data[[#This Row],[Product]],[1]!products[Product],[1]!products[Cost per unit])</f>
        <v>16.73</v>
      </c>
      <c r="I120" s="11" t="e">
        <f>[1]!data[[#This Row],[Cost per unit]]*[1]!data[[#This Row],[Units]]</f>
        <v>#REF!</v>
      </c>
    </row>
    <row r="121" spans="3:9" x14ac:dyDescent="0.3">
      <c r="C121" t="s">
        <v>8</v>
      </c>
      <c r="D121" t="s">
        <v>35</v>
      </c>
      <c r="E121" t="s">
        <v>29</v>
      </c>
      <c r="F121" s="4">
        <v>2023</v>
      </c>
      <c r="G121" s="5">
        <v>168</v>
      </c>
      <c r="H121" s="11">
        <f>_xlfn.XLOOKUP([1]!data[[#This Row],[Product]],[1]!products[Product],[1]!products[Cost per unit])</f>
        <v>7.16</v>
      </c>
      <c r="I121" s="11" t="e">
        <f>[1]!data[[#This Row],[Cost per unit]]*[1]!data[[#This Row],[Units]]</f>
        <v>#REF!</v>
      </c>
    </row>
    <row r="122" spans="3:9" x14ac:dyDescent="0.3">
      <c r="C122" t="s">
        <v>5</v>
      </c>
      <c r="D122" t="s">
        <v>39</v>
      </c>
      <c r="E122" t="s">
        <v>26</v>
      </c>
      <c r="F122" s="4">
        <v>5236</v>
      </c>
      <c r="G122" s="5">
        <v>51</v>
      </c>
      <c r="H122" s="11">
        <f>_xlfn.XLOOKUP([1]!data[[#This Row],[Product]],[1]!products[Product],[1]!products[Cost per unit])</f>
        <v>5.6</v>
      </c>
      <c r="I122" s="11" t="e">
        <f>[1]!data[[#This Row],[Cost per unit]]*[1]!data[[#This Row],[Units]]</f>
        <v>#REF!</v>
      </c>
    </row>
    <row r="123" spans="3:9" x14ac:dyDescent="0.3">
      <c r="C123" t="s">
        <v>41</v>
      </c>
      <c r="D123" t="s">
        <v>36</v>
      </c>
      <c r="E123" t="s">
        <v>19</v>
      </c>
      <c r="F123" s="4">
        <v>1925</v>
      </c>
      <c r="G123" s="5">
        <v>192</v>
      </c>
      <c r="H123" s="11">
        <f>_xlfn.XLOOKUP([1]!data[[#This Row],[Product]],[1]!products[Product],[1]!products[Cost per unit])</f>
        <v>7.64</v>
      </c>
      <c r="I123" s="11" t="e">
        <f>[1]!data[[#This Row],[Cost per unit]]*[1]!data[[#This Row],[Units]]</f>
        <v>#REF!</v>
      </c>
    </row>
    <row r="124" spans="3:9" x14ac:dyDescent="0.3">
      <c r="C124" t="s">
        <v>7</v>
      </c>
      <c r="D124" t="s">
        <v>37</v>
      </c>
      <c r="E124" t="s">
        <v>14</v>
      </c>
      <c r="F124" s="4">
        <v>6608</v>
      </c>
      <c r="G124" s="5">
        <v>225</v>
      </c>
      <c r="H124" s="11">
        <f>_xlfn.XLOOKUP([1]!data[[#This Row],[Product]],[1]!products[Product],[1]!products[Cost per unit])</f>
        <v>11.7</v>
      </c>
      <c r="I124" s="11" t="e">
        <f>[1]!data[[#This Row],[Cost per unit]]*[1]!data[[#This Row],[Units]]</f>
        <v>#REF!</v>
      </c>
    </row>
    <row r="125" spans="3:9" x14ac:dyDescent="0.3">
      <c r="C125" t="s">
        <v>6</v>
      </c>
      <c r="D125" t="s">
        <v>34</v>
      </c>
      <c r="E125" t="s">
        <v>26</v>
      </c>
      <c r="F125" s="4">
        <v>8008</v>
      </c>
      <c r="G125" s="5">
        <v>456</v>
      </c>
      <c r="H125" s="11">
        <f>_xlfn.XLOOKUP([1]!data[[#This Row],[Product]],[1]!products[Product],[1]!products[Cost per unit])</f>
        <v>5.6</v>
      </c>
      <c r="I125" s="11" t="e">
        <f>[1]!data[[#This Row],[Cost per unit]]*[1]!data[[#This Row],[Units]]</f>
        <v>#REF!</v>
      </c>
    </row>
    <row r="126" spans="3:9" x14ac:dyDescent="0.3">
      <c r="C126" t="s">
        <v>10</v>
      </c>
      <c r="D126" t="s">
        <v>34</v>
      </c>
      <c r="E126" t="s">
        <v>25</v>
      </c>
      <c r="F126" s="4">
        <v>1428</v>
      </c>
      <c r="G126" s="5">
        <v>93</v>
      </c>
      <c r="H126" s="11">
        <f>_xlfn.XLOOKUP([1]!data[[#This Row],[Product]],[1]!products[Product],[1]!products[Cost per unit])</f>
        <v>13.15</v>
      </c>
      <c r="I126" s="11" t="e">
        <f>[1]!data[[#This Row],[Cost per unit]]*[1]!data[[#This Row],[Units]]</f>
        <v>#REF!</v>
      </c>
    </row>
    <row r="127" spans="3:9" x14ac:dyDescent="0.3">
      <c r="C127" t="s">
        <v>6</v>
      </c>
      <c r="D127" t="s">
        <v>34</v>
      </c>
      <c r="E127" t="s">
        <v>4</v>
      </c>
      <c r="F127" s="4">
        <v>525</v>
      </c>
      <c r="G127" s="5">
        <v>48</v>
      </c>
      <c r="H127" s="11">
        <f>_xlfn.XLOOKUP([1]!data[[#This Row],[Product]],[1]!products[Product],[1]!products[Cost per unit])</f>
        <v>11.88</v>
      </c>
      <c r="I127" s="11" t="e">
        <f>[1]!data[[#This Row],[Cost per unit]]*[1]!data[[#This Row],[Units]]</f>
        <v>#REF!</v>
      </c>
    </row>
    <row r="128" spans="3:9" x14ac:dyDescent="0.3">
      <c r="C128" t="s">
        <v>6</v>
      </c>
      <c r="D128" t="s">
        <v>37</v>
      </c>
      <c r="E128" t="s">
        <v>18</v>
      </c>
      <c r="F128" s="4">
        <v>1505</v>
      </c>
      <c r="G128" s="5">
        <v>102</v>
      </c>
      <c r="H128" s="11">
        <f>_xlfn.XLOOKUP([1]!data[[#This Row],[Product]],[1]!products[Product],[1]!products[Cost per unit])</f>
        <v>6.47</v>
      </c>
      <c r="I128" s="11" t="e">
        <f>[1]!data[[#This Row],[Cost per unit]]*[1]!data[[#This Row],[Units]]</f>
        <v>#REF!</v>
      </c>
    </row>
    <row r="129" spans="3:9" x14ac:dyDescent="0.3">
      <c r="C129" t="s">
        <v>7</v>
      </c>
      <c r="D129" t="s">
        <v>35</v>
      </c>
      <c r="E129" t="s">
        <v>30</v>
      </c>
      <c r="F129" s="4">
        <v>6755</v>
      </c>
      <c r="G129" s="5">
        <v>252</v>
      </c>
      <c r="H129" s="11">
        <f>_xlfn.XLOOKUP([1]!data[[#This Row],[Product]],[1]!products[Product],[1]!products[Cost per unit])</f>
        <v>14.49</v>
      </c>
      <c r="I129" s="11" t="e">
        <f>[1]!data[[#This Row],[Cost per unit]]*[1]!data[[#This Row],[Units]]</f>
        <v>#REF!</v>
      </c>
    </row>
    <row r="130" spans="3:9" x14ac:dyDescent="0.3">
      <c r="C130" t="s">
        <v>2</v>
      </c>
      <c r="D130" t="s">
        <v>37</v>
      </c>
      <c r="E130" t="s">
        <v>18</v>
      </c>
      <c r="F130" s="4">
        <v>11571</v>
      </c>
      <c r="G130" s="5">
        <v>138</v>
      </c>
      <c r="H130" s="11">
        <f>_xlfn.XLOOKUP([1]!data[[#This Row],[Product]],[1]!products[Product],[1]!products[Cost per unit])</f>
        <v>6.47</v>
      </c>
      <c r="I130" s="11" t="e">
        <f>[1]!data[[#This Row],[Cost per unit]]*[1]!data[[#This Row],[Units]]</f>
        <v>#REF!</v>
      </c>
    </row>
    <row r="131" spans="3:9" x14ac:dyDescent="0.3">
      <c r="C131" t="s">
        <v>40</v>
      </c>
      <c r="D131" t="s">
        <v>38</v>
      </c>
      <c r="E131" t="s">
        <v>25</v>
      </c>
      <c r="F131" s="4">
        <v>2541</v>
      </c>
      <c r="G131" s="5">
        <v>90</v>
      </c>
      <c r="H131" s="11">
        <f>_xlfn.XLOOKUP([1]!data[[#This Row],[Product]],[1]!products[Product],[1]!products[Cost per unit])</f>
        <v>13.15</v>
      </c>
      <c r="I131" s="11" t="e">
        <f>[1]!data[[#This Row],[Cost per unit]]*[1]!data[[#This Row],[Units]]</f>
        <v>#REF!</v>
      </c>
    </row>
    <row r="132" spans="3:9" x14ac:dyDescent="0.3">
      <c r="C132" t="s">
        <v>41</v>
      </c>
      <c r="D132" t="s">
        <v>37</v>
      </c>
      <c r="E132" t="s">
        <v>30</v>
      </c>
      <c r="F132" s="4">
        <v>1526</v>
      </c>
      <c r="G132" s="5">
        <v>240</v>
      </c>
      <c r="H132" s="11">
        <f>_xlfn.XLOOKUP([1]!data[[#This Row],[Product]],[1]!products[Product],[1]!products[Cost per unit])</f>
        <v>14.49</v>
      </c>
      <c r="I132" s="11" t="e">
        <f>[1]!data[[#This Row],[Cost per unit]]*[1]!data[[#This Row],[Units]]</f>
        <v>#REF!</v>
      </c>
    </row>
    <row r="133" spans="3:9" x14ac:dyDescent="0.3">
      <c r="C133" t="s">
        <v>40</v>
      </c>
      <c r="D133" t="s">
        <v>38</v>
      </c>
      <c r="E133" t="s">
        <v>4</v>
      </c>
      <c r="F133" s="4">
        <v>6125</v>
      </c>
      <c r="G133" s="5">
        <v>102</v>
      </c>
      <c r="H133" s="11">
        <f>_xlfn.XLOOKUP([1]!data[[#This Row],[Product]],[1]!products[Product],[1]!products[Cost per unit])</f>
        <v>11.88</v>
      </c>
      <c r="I133" s="11" t="e">
        <f>[1]!data[[#This Row],[Cost per unit]]*[1]!data[[#This Row],[Units]]</f>
        <v>#REF!</v>
      </c>
    </row>
    <row r="134" spans="3:9" x14ac:dyDescent="0.3">
      <c r="C134" t="s">
        <v>41</v>
      </c>
      <c r="D134" t="s">
        <v>35</v>
      </c>
      <c r="E134" t="s">
        <v>27</v>
      </c>
      <c r="F134" s="4">
        <v>847</v>
      </c>
      <c r="G134" s="5">
        <v>129</v>
      </c>
      <c r="H134" s="11">
        <f>_xlfn.XLOOKUP([1]!data[[#This Row],[Product]],[1]!products[Product],[1]!products[Cost per unit])</f>
        <v>16.73</v>
      </c>
      <c r="I134" s="11" t="e">
        <f>[1]!data[[#This Row],[Cost per unit]]*[1]!data[[#This Row],[Units]]</f>
        <v>#REF!</v>
      </c>
    </row>
    <row r="135" spans="3:9" x14ac:dyDescent="0.3">
      <c r="C135" t="s">
        <v>8</v>
      </c>
      <c r="D135" t="s">
        <v>35</v>
      </c>
      <c r="E135" t="s">
        <v>27</v>
      </c>
      <c r="F135" s="4">
        <v>4753</v>
      </c>
      <c r="G135" s="5">
        <v>300</v>
      </c>
      <c r="H135" s="11">
        <f>_xlfn.XLOOKUP([1]!data[[#This Row],[Product]],[1]!products[Product],[1]!products[Cost per unit])</f>
        <v>16.73</v>
      </c>
      <c r="I135" s="11" t="e">
        <f>[1]!data[[#This Row],[Cost per unit]]*[1]!data[[#This Row],[Units]]</f>
        <v>#REF!</v>
      </c>
    </row>
    <row r="136" spans="3:9" x14ac:dyDescent="0.3">
      <c r="C136" t="s">
        <v>6</v>
      </c>
      <c r="D136" t="s">
        <v>38</v>
      </c>
      <c r="E136" t="s">
        <v>33</v>
      </c>
      <c r="F136" s="4">
        <v>959</v>
      </c>
      <c r="G136" s="5">
        <v>135</v>
      </c>
      <c r="H136" s="11">
        <f>_xlfn.XLOOKUP([1]!data[[#This Row],[Product]],[1]!products[Product],[1]!products[Cost per unit])</f>
        <v>12.37</v>
      </c>
      <c r="I136" s="11" t="e">
        <f>[1]!data[[#This Row],[Cost per unit]]*[1]!data[[#This Row],[Units]]</f>
        <v>#REF!</v>
      </c>
    </row>
    <row r="137" spans="3:9" x14ac:dyDescent="0.3">
      <c r="C137" t="s">
        <v>7</v>
      </c>
      <c r="D137" t="s">
        <v>35</v>
      </c>
      <c r="E137" t="s">
        <v>24</v>
      </c>
      <c r="F137" s="4">
        <v>2793</v>
      </c>
      <c r="G137" s="5">
        <v>114</v>
      </c>
      <c r="H137" s="11">
        <f>_xlfn.XLOOKUP([1]!data[[#This Row],[Product]],[1]!products[Product],[1]!products[Cost per unit])</f>
        <v>4.97</v>
      </c>
      <c r="I137" s="11" t="e">
        <f>[1]!data[[#This Row],[Cost per unit]]*[1]!data[[#This Row],[Units]]</f>
        <v>#REF!</v>
      </c>
    </row>
    <row r="138" spans="3:9" x14ac:dyDescent="0.3">
      <c r="C138" t="s">
        <v>7</v>
      </c>
      <c r="D138" t="s">
        <v>35</v>
      </c>
      <c r="E138" t="s">
        <v>14</v>
      </c>
      <c r="F138" s="4">
        <v>4606</v>
      </c>
      <c r="G138" s="5">
        <v>63</v>
      </c>
      <c r="H138" s="11">
        <f>_xlfn.XLOOKUP([1]!data[[#This Row],[Product]],[1]!products[Product],[1]!products[Cost per unit])</f>
        <v>11.7</v>
      </c>
      <c r="I138" s="11" t="e">
        <f>[1]!data[[#This Row],[Cost per unit]]*[1]!data[[#This Row],[Units]]</f>
        <v>#REF!</v>
      </c>
    </row>
    <row r="139" spans="3:9" x14ac:dyDescent="0.3">
      <c r="C139" t="s">
        <v>7</v>
      </c>
      <c r="D139" t="s">
        <v>36</v>
      </c>
      <c r="E139" t="s">
        <v>29</v>
      </c>
      <c r="F139" s="4">
        <v>5551</v>
      </c>
      <c r="G139" s="5">
        <v>252</v>
      </c>
      <c r="H139" s="11">
        <f>_xlfn.XLOOKUP([1]!data[[#This Row],[Product]],[1]!products[Product],[1]!products[Cost per unit])</f>
        <v>7.16</v>
      </c>
      <c r="I139" s="11" t="e">
        <f>[1]!data[[#This Row],[Cost per unit]]*[1]!data[[#This Row],[Units]]</f>
        <v>#REF!</v>
      </c>
    </row>
    <row r="140" spans="3:9" x14ac:dyDescent="0.3">
      <c r="C140" t="s">
        <v>10</v>
      </c>
      <c r="D140" t="s">
        <v>36</v>
      </c>
      <c r="E140" t="s">
        <v>32</v>
      </c>
      <c r="F140" s="4">
        <v>6657</v>
      </c>
      <c r="G140" s="5">
        <v>303</v>
      </c>
      <c r="H140" s="11">
        <f>_xlfn.XLOOKUP([1]!data[[#This Row],[Product]],[1]!products[Product],[1]!products[Cost per unit])</f>
        <v>8.65</v>
      </c>
      <c r="I140" s="11" t="e">
        <f>[1]!data[[#This Row],[Cost per unit]]*[1]!data[[#This Row],[Units]]</f>
        <v>#REF!</v>
      </c>
    </row>
    <row r="141" spans="3:9" x14ac:dyDescent="0.3">
      <c r="C141" t="s">
        <v>7</v>
      </c>
      <c r="D141" t="s">
        <v>39</v>
      </c>
      <c r="E141" t="s">
        <v>17</v>
      </c>
      <c r="F141" s="4">
        <v>4438</v>
      </c>
      <c r="G141" s="5">
        <v>246</v>
      </c>
      <c r="H141" s="11">
        <f>_xlfn.XLOOKUP([1]!data[[#This Row],[Product]],[1]!products[Product],[1]!products[Cost per unit])</f>
        <v>3.11</v>
      </c>
      <c r="I141" s="11" t="e">
        <f>[1]!data[[#This Row],[Cost per unit]]*[1]!data[[#This Row],[Units]]</f>
        <v>#REF!</v>
      </c>
    </row>
    <row r="142" spans="3:9" x14ac:dyDescent="0.3">
      <c r="C142" t="s">
        <v>8</v>
      </c>
      <c r="D142" t="s">
        <v>38</v>
      </c>
      <c r="E142" t="s">
        <v>22</v>
      </c>
      <c r="F142" s="4">
        <v>168</v>
      </c>
      <c r="G142" s="5">
        <v>84</v>
      </c>
      <c r="H142" s="11">
        <f>_xlfn.XLOOKUP([1]!data[[#This Row],[Product]],[1]!products[Product],[1]!products[Cost per unit])</f>
        <v>9.77</v>
      </c>
      <c r="I142" s="11" t="e">
        <f>[1]!data[[#This Row],[Cost per unit]]*[1]!data[[#This Row],[Units]]</f>
        <v>#REF!</v>
      </c>
    </row>
    <row r="143" spans="3:9" x14ac:dyDescent="0.3">
      <c r="C143" t="s">
        <v>7</v>
      </c>
      <c r="D143" t="s">
        <v>34</v>
      </c>
      <c r="E143" t="s">
        <v>17</v>
      </c>
      <c r="F143" s="4">
        <v>7777</v>
      </c>
      <c r="G143" s="5">
        <v>39</v>
      </c>
      <c r="H143" s="11">
        <f>_xlfn.XLOOKUP([1]!data[[#This Row],[Product]],[1]!products[Product],[1]!products[Cost per unit])</f>
        <v>3.11</v>
      </c>
      <c r="I143" s="11" t="e">
        <f>[1]!data[[#This Row],[Cost per unit]]*[1]!data[[#This Row],[Units]]</f>
        <v>#REF!</v>
      </c>
    </row>
    <row r="144" spans="3:9" x14ac:dyDescent="0.3">
      <c r="C144" t="s">
        <v>5</v>
      </c>
      <c r="D144" t="s">
        <v>36</v>
      </c>
      <c r="E144" t="s">
        <v>17</v>
      </c>
      <c r="F144" s="4">
        <v>3339</v>
      </c>
      <c r="G144" s="5">
        <v>348</v>
      </c>
      <c r="H144" s="11">
        <f>_xlfn.XLOOKUP([1]!data[[#This Row],[Product]],[1]!products[Product],[1]!products[Cost per unit])</f>
        <v>3.11</v>
      </c>
      <c r="I144" s="11" t="e">
        <f>[1]!data[[#This Row],[Cost per unit]]*[1]!data[[#This Row],[Units]]</f>
        <v>#REF!</v>
      </c>
    </row>
    <row r="145" spans="3:9" x14ac:dyDescent="0.3">
      <c r="C145" t="s">
        <v>7</v>
      </c>
      <c r="D145" t="s">
        <v>37</v>
      </c>
      <c r="E145" t="s">
        <v>33</v>
      </c>
      <c r="F145" s="4">
        <v>6391</v>
      </c>
      <c r="G145" s="5">
        <v>48</v>
      </c>
      <c r="H145" s="11">
        <f>_xlfn.XLOOKUP([1]!data[[#This Row],[Product]],[1]!products[Product],[1]!products[Cost per unit])</f>
        <v>12.37</v>
      </c>
      <c r="I145" s="11" t="e">
        <f>[1]!data[[#This Row],[Cost per unit]]*[1]!data[[#This Row],[Units]]</f>
        <v>#REF!</v>
      </c>
    </row>
    <row r="146" spans="3:9" x14ac:dyDescent="0.3">
      <c r="C146" t="s">
        <v>5</v>
      </c>
      <c r="D146" t="s">
        <v>37</v>
      </c>
      <c r="E146" t="s">
        <v>22</v>
      </c>
      <c r="F146" s="4">
        <v>518</v>
      </c>
      <c r="G146" s="5">
        <v>75</v>
      </c>
      <c r="H146" s="11">
        <f>_xlfn.XLOOKUP([1]!data[[#This Row],[Product]],[1]!products[Product],[1]!products[Cost per unit])</f>
        <v>9.77</v>
      </c>
      <c r="I146" s="11" t="e">
        <f>[1]!data[[#This Row],[Cost per unit]]*[1]!data[[#This Row],[Units]]</f>
        <v>#REF!</v>
      </c>
    </row>
    <row r="147" spans="3:9" x14ac:dyDescent="0.3">
      <c r="C147" t="s">
        <v>7</v>
      </c>
      <c r="D147" t="s">
        <v>38</v>
      </c>
      <c r="E147" t="s">
        <v>28</v>
      </c>
      <c r="F147" s="4">
        <v>5677</v>
      </c>
      <c r="G147" s="5">
        <v>258</v>
      </c>
      <c r="H147" s="11">
        <f>_xlfn.XLOOKUP([1]!data[[#This Row],[Product]],[1]!products[Product],[1]!products[Cost per unit])</f>
        <v>10.38</v>
      </c>
      <c r="I147" s="11" t="e">
        <f>[1]!data[[#This Row],[Cost per unit]]*[1]!data[[#This Row],[Units]]</f>
        <v>#REF!</v>
      </c>
    </row>
    <row r="148" spans="3:9" x14ac:dyDescent="0.3">
      <c r="C148" t="s">
        <v>6</v>
      </c>
      <c r="D148" t="s">
        <v>39</v>
      </c>
      <c r="E148" t="s">
        <v>17</v>
      </c>
      <c r="F148" s="4">
        <v>6048</v>
      </c>
      <c r="G148" s="5">
        <v>27</v>
      </c>
      <c r="H148" s="11">
        <f>_xlfn.XLOOKUP([1]!data[[#This Row],[Product]],[1]!products[Product],[1]!products[Cost per unit])</f>
        <v>3.11</v>
      </c>
      <c r="I148" s="11" t="e">
        <f>[1]!data[[#This Row],[Cost per unit]]*[1]!data[[#This Row],[Units]]</f>
        <v>#REF!</v>
      </c>
    </row>
    <row r="149" spans="3:9" x14ac:dyDescent="0.3">
      <c r="C149" t="s">
        <v>8</v>
      </c>
      <c r="D149" t="s">
        <v>38</v>
      </c>
      <c r="E149" t="s">
        <v>32</v>
      </c>
      <c r="F149" s="4">
        <v>3752</v>
      </c>
      <c r="G149" s="5">
        <v>213</v>
      </c>
      <c r="H149" s="11">
        <f>_xlfn.XLOOKUP([1]!data[[#This Row],[Product]],[1]!products[Product],[1]!products[Cost per unit])</f>
        <v>8.65</v>
      </c>
      <c r="I149" s="11" t="e">
        <f>[1]!data[[#This Row],[Cost per unit]]*[1]!data[[#This Row],[Units]]</f>
        <v>#REF!</v>
      </c>
    </row>
    <row r="150" spans="3:9" x14ac:dyDescent="0.3">
      <c r="C150" t="s">
        <v>5</v>
      </c>
      <c r="D150" t="s">
        <v>35</v>
      </c>
      <c r="E150" t="s">
        <v>29</v>
      </c>
      <c r="F150" s="4">
        <v>4480</v>
      </c>
      <c r="G150" s="5">
        <v>357</v>
      </c>
      <c r="H150" s="11">
        <f>_xlfn.XLOOKUP([1]!data[[#This Row],[Product]],[1]!products[Product],[1]!products[Cost per unit])</f>
        <v>7.16</v>
      </c>
      <c r="I150" s="11" t="e">
        <f>[1]!data[[#This Row],[Cost per unit]]*[1]!data[[#This Row],[Units]]</f>
        <v>#REF!</v>
      </c>
    </row>
    <row r="151" spans="3:9" x14ac:dyDescent="0.3">
      <c r="C151" t="s">
        <v>9</v>
      </c>
      <c r="D151" t="s">
        <v>37</v>
      </c>
      <c r="E151" t="s">
        <v>4</v>
      </c>
      <c r="F151" s="4">
        <v>259</v>
      </c>
      <c r="G151" s="5">
        <v>207</v>
      </c>
      <c r="H151" s="11">
        <f>_xlfn.XLOOKUP([1]!data[[#This Row],[Product]],[1]!products[Product],[1]!products[Cost per unit])</f>
        <v>11.88</v>
      </c>
      <c r="I151" s="11" t="e">
        <f>[1]!data[[#This Row],[Cost per unit]]*[1]!data[[#This Row],[Units]]</f>
        <v>#REF!</v>
      </c>
    </row>
    <row r="152" spans="3:9" x14ac:dyDescent="0.3">
      <c r="C152" t="s">
        <v>8</v>
      </c>
      <c r="D152" t="s">
        <v>37</v>
      </c>
      <c r="E152" t="s">
        <v>30</v>
      </c>
      <c r="F152" s="4">
        <v>42</v>
      </c>
      <c r="G152" s="5">
        <v>150</v>
      </c>
      <c r="H152" s="11">
        <f>_xlfn.XLOOKUP([1]!data[[#This Row],[Product]],[1]!products[Product],[1]!products[Cost per unit])</f>
        <v>14.49</v>
      </c>
      <c r="I152" s="11" t="e">
        <f>[1]!data[[#This Row],[Cost per unit]]*[1]!data[[#This Row],[Units]]</f>
        <v>#REF!</v>
      </c>
    </row>
    <row r="153" spans="3:9" x14ac:dyDescent="0.3">
      <c r="C153" t="s">
        <v>41</v>
      </c>
      <c r="D153" t="s">
        <v>36</v>
      </c>
      <c r="E153" t="s">
        <v>26</v>
      </c>
      <c r="F153" s="4">
        <v>98</v>
      </c>
      <c r="G153" s="5">
        <v>204</v>
      </c>
      <c r="H153" s="11">
        <f>_xlfn.XLOOKUP([1]!data[[#This Row],[Product]],[1]!products[Product],[1]!products[Cost per unit])</f>
        <v>5.6</v>
      </c>
      <c r="I153" s="11" t="e">
        <f>[1]!data[[#This Row],[Cost per unit]]*[1]!data[[#This Row],[Units]]</f>
        <v>#REF!</v>
      </c>
    </row>
    <row r="154" spans="3:9" x14ac:dyDescent="0.3">
      <c r="C154" t="s">
        <v>7</v>
      </c>
      <c r="D154" t="s">
        <v>35</v>
      </c>
      <c r="E154" t="s">
        <v>27</v>
      </c>
      <c r="F154" s="4">
        <v>2478</v>
      </c>
      <c r="G154" s="5">
        <v>21</v>
      </c>
      <c r="H154" s="11">
        <f>_xlfn.XLOOKUP([1]!data[[#This Row],[Product]],[1]!products[Product],[1]!products[Cost per unit])</f>
        <v>16.73</v>
      </c>
      <c r="I154" s="11" t="e">
        <f>[1]!data[[#This Row],[Cost per unit]]*[1]!data[[#This Row],[Units]]</f>
        <v>#REF!</v>
      </c>
    </row>
    <row r="155" spans="3:9" x14ac:dyDescent="0.3">
      <c r="C155" t="s">
        <v>41</v>
      </c>
      <c r="D155" t="s">
        <v>34</v>
      </c>
      <c r="E155" t="s">
        <v>33</v>
      </c>
      <c r="F155" s="4">
        <v>7847</v>
      </c>
      <c r="G155" s="5">
        <v>174</v>
      </c>
      <c r="H155" s="11">
        <f>_xlfn.XLOOKUP([1]!data[[#This Row],[Product]],[1]!products[Product],[1]!products[Cost per unit])</f>
        <v>12.37</v>
      </c>
      <c r="I155" s="11" t="e">
        <f>[1]!data[[#This Row],[Cost per unit]]*[1]!data[[#This Row],[Units]]</f>
        <v>#REF!</v>
      </c>
    </row>
    <row r="156" spans="3:9" x14ac:dyDescent="0.3">
      <c r="C156" t="s">
        <v>2</v>
      </c>
      <c r="D156" t="s">
        <v>37</v>
      </c>
      <c r="E156" t="s">
        <v>17</v>
      </c>
      <c r="F156" s="4">
        <v>9926</v>
      </c>
      <c r="G156" s="5">
        <v>201</v>
      </c>
      <c r="H156" s="11">
        <f>_xlfn.XLOOKUP([1]!data[[#This Row],[Product]],[1]!products[Product],[1]!products[Cost per unit])</f>
        <v>3.11</v>
      </c>
      <c r="I156" s="11" t="e">
        <f>[1]!data[[#This Row],[Cost per unit]]*[1]!data[[#This Row],[Units]]</f>
        <v>#REF!</v>
      </c>
    </row>
    <row r="157" spans="3:9" x14ac:dyDescent="0.3">
      <c r="C157" t="s">
        <v>8</v>
      </c>
      <c r="D157" t="s">
        <v>38</v>
      </c>
      <c r="E157" t="s">
        <v>13</v>
      </c>
      <c r="F157" s="4">
        <v>819</v>
      </c>
      <c r="G157" s="5">
        <v>510</v>
      </c>
      <c r="H157" s="11">
        <f>_xlfn.XLOOKUP([1]!data[[#This Row],[Product]],[1]!products[Product],[1]!products[Cost per unit])</f>
        <v>9.33</v>
      </c>
      <c r="I157" s="11" t="e">
        <f>[1]!data[[#This Row],[Cost per unit]]*[1]!data[[#This Row],[Units]]</f>
        <v>#REF!</v>
      </c>
    </row>
    <row r="158" spans="3:9" x14ac:dyDescent="0.3">
      <c r="C158" t="s">
        <v>6</v>
      </c>
      <c r="D158" t="s">
        <v>39</v>
      </c>
      <c r="E158" t="s">
        <v>29</v>
      </c>
      <c r="F158" s="4">
        <v>3052</v>
      </c>
      <c r="G158" s="5">
        <v>378</v>
      </c>
      <c r="H158" s="11">
        <f>_xlfn.XLOOKUP([1]!data[[#This Row],[Product]],[1]!products[Product],[1]!products[Cost per unit])</f>
        <v>7.16</v>
      </c>
      <c r="I158" s="11" t="e">
        <f>[1]!data[[#This Row],[Cost per unit]]*[1]!data[[#This Row],[Units]]</f>
        <v>#REF!</v>
      </c>
    </row>
    <row r="159" spans="3:9" x14ac:dyDescent="0.3">
      <c r="C159" t="s">
        <v>9</v>
      </c>
      <c r="D159" t="s">
        <v>34</v>
      </c>
      <c r="E159" t="s">
        <v>21</v>
      </c>
      <c r="F159" s="4">
        <v>6832</v>
      </c>
      <c r="G159" s="5">
        <v>27</v>
      </c>
      <c r="H159" s="11">
        <f>_xlfn.XLOOKUP([1]!data[[#This Row],[Product]],[1]!products[Product],[1]!products[Cost per unit])</f>
        <v>9</v>
      </c>
      <c r="I159" s="11" t="e">
        <f>[1]!data[[#This Row],[Cost per unit]]*[1]!data[[#This Row],[Units]]</f>
        <v>#REF!</v>
      </c>
    </row>
    <row r="160" spans="3:9" x14ac:dyDescent="0.3">
      <c r="C160" t="s">
        <v>2</v>
      </c>
      <c r="D160" t="s">
        <v>39</v>
      </c>
      <c r="E160" t="s">
        <v>16</v>
      </c>
      <c r="F160" s="4">
        <v>2016</v>
      </c>
      <c r="G160" s="5">
        <v>117</v>
      </c>
      <c r="H160" s="11">
        <f>_xlfn.XLOOKUP([1]!data[[#This Row],[Product]],[1]!products[Product],[1]!products[Cost per unit])</f>
        <v>8.7899999999999991</v>
      </c>
      <c r="I160" s="11" t="e">
        <f>[1]!data[[#This Row],[Cost per unit]]*[1]!data[[#This Row],[Units]]</f>
        <v>#REF!</v>
      </c>
    </row>
    <row r="161" spans="3:9" x14ac:dyDescent="0.3">
      <c r="C161" t="s">
        <v>6</v>
      </c>
      <c r="D161" t="s">
        <v>38</v>
      </c>
      <c r="E161" t="s">
        <v>21</v>
      </c>
      <c r="F161" s="4">
        <v>7322</v>
      </c>
      <c r="G161" s="5">
        <v>36</v>
      </c>
      <c r="H161" s="11">
        <f>_xlfn.XLOOKUP([1]!data[[#This Row],[Product]],[1]!products[Product],[1]!products[Cost per unit])</f>
        <v>9</v>
      </c>
      <c r="I161" s="11" t="e">
        <f>[1]!data[[#This Row],[Cost per unit]]*[1]!data[[#This Row],[Units]]</f>
        <v>#REF!</v>
      </c>
    </row>
    <row r="162" spans="3:9" x14ac:dyDescent="0.3">
      <c r="C162" t="s">
        <v>8</v>
      </c>
      <c r="D162" t="s">
        <v>35</v>
      </c>
      <c r="E162" t="s">
        <v>33</v>
      </c>
      <c r="F162" s="4">
        <v>357</v>
      </c>
      <c r="G162" s="5">
        <v>126</v>
      </c>
      <c r="H162" s="11">
        <f>_xlfn.XLOOKUP([1]!data[[#This Row],[Product]],[1]!products[Product],[1]!products[Cost per unit])</f>
        <v>12.37</v>
      </c>
      <c r="I162" s="11" t="e">
        <f>[1]!data[[#This Row],[Cost per unit]]*[1]!data[[#This Row],[Units]]</f>
        <v>#REF!</v>
      </c>
    </row>
    <row r="163" spans="3:9" x14ac:dyDescent="0.3">
      <c r="C163" t="s">
        <v>9</v>
      </c>
      <c r="D163" t="s">
        <v>39</v>
      </c>
      <c r="E163" t="s">
        <v>25</v>
      </c>
      <c r="F163" s="4">
        <v>3192</v>
      </c>
      <c r="G163" s="5">
        <v>72</v>
      </c>
      <c r="H163" s="11">
        <f>_xlfn.XLOOKUP([1]!data[[#This Row],[Product]],[1]!products[Product],[1]!products[Cost per unit])</f>
        <v>13.15</v>
      </c>
      <c r="I163" s="11" t="e">
        <f>[1]!data[[#This Row],[Cost per unit]]*[1]!data[[#This Row],[Units]]</f>
        <v>#REF!</v>
      </c>
    </row>
    <row r="164" spans="3:9" x14ac:dyDescent="0.3">
      <c r="C164" t="s">
        <v>7</v>
      </c>
      <c r="D164" t="s">
        <v>36</v>
      </c>
      <c r="E164" t="s">
        <v>22</v>
      </c>
      <c r="F164" s="4">
        <v>8435</v>
      </c>
      <c r="G164" s="5">
        <v>42</v>
      </c>
      <c r="H164" s="11">
        <f>_xlfn.XLOOKUP([1]!data[[#This Row],[Product]],[1]!products[Product],[1]!products[Cost per unit])</f>
        <v>9.77</v>
      </c>
      <c r="I164" s="11" t="e">
        <f>[1]!data[[#This Row],[Cost per unit]]*[1]!data[[#This Row],[Units]]</f>
        <v>#REF!</v>
      </c>
    </row>
    <row r="165" spans="3:9" x14ac:dyDescent="0.3">
      <c r="C165" t="s">
        <v>40</v>
      </c>
      <c r="D165" t="s">
        <v>39</v>
      </c>
      <c r="E165" t="s">
        <v>29</v>
      </c>
      <c r="F165" s="4">
        <v>0</v>
      </c>
      <c r="G165" s="5">
        <v>135</v>
      </c>
      <c r="H165" s="11">
        <f>_xlfn.XLOOKUP([1]!data[[#This Row],[Product]],[1]!products[Product],[1]!products[Cost per unit])</f>
        <v>7.16</v>
      </c>
      <c r="I165" s="11" t="e">
        <f>[1]!data[[#This Row],[Cost per unit]]*[1]!data[[#This Row],[Units]]</f>
        <v>#REF!</v>
      </c>
    </row>
    <row r="166" spans="3:9" x14ac:dyDescent="0.3">
      <c r="C166" t="s">
        <v>7</v>
      </c>
      <c r="D166" t="s">
        <v>34</v>
      </c>
      <c r="E166" t="s">
        <v>24</v>
      </c>
      <c r="F166" s="4">
        <v>8862</v>
      </c>
      <c r="G166" s="5">
        <v>189</v>
      </c>
      <c r="H166" s="11">
        <f>_xlfn.XLOOKUP([1]!data[[#This Row],[Product]],[1]!products[Product],[1]!products[Cost per unit])</f>
        <v>4.97</v>
      </c>
      <c r="I166" s="11" t="e">
        <f>[1]!data[[#This Row],[Cost per unit]]*[1]!data[[#This Row],[Units]]</f>
        <v>#REF!</v>
      </c>
    </row>
    <row r="167" spans="3:9" x14ac:dyDescent="0.3">
      <c r="C167" t="s">
        <v>6</v>
      </c>
      <c r="D167" t="s">
        <v>37</v>
      </c>
      <c r="E167" t="s">
        <v>28</v>
      </c>
      <c r="F167" s="4">
        <v>3556</v>
      </c>
      <c r="G167" s="5">
        <v>459</v>
      </c>
      <c r="H167" s="11">
        <f>_xlfn.XLOOKUP([1]!data[[#This Row],[Product]],[1]!products[Product],[1]!products[Cost per unit])</f>
        <v>10.38</v>
      </c>
      <c r="I167" s="11" t="e">
        <f>[1]!data[[#This Row],[Cost per unit]]*[1]!data[[#This Row],[Units]]</f>
        <v>#REF!</v>
      </c>
    </row>
    <row r="168" spans="3:9" x14ac:dyDescent="0.3">
      <c r="C168" t="s">
        <v>5</v>
      </c>
      <c r="D168" t="s">
        <v>34</v>
      </c>
      <c r="E168" t="s">
        <v>15</v>
      </c>
      <c r="F168" s="4">
        <v>7280</v>
      </c>
      <c r="G168" s="5">
        <v>201</v>
      </c>
      <c r="H168" s="11">
        <f>_xlfn.XLOOKUP([1]!data[[#This Row],[Product]],[1]!products[Product],[1]!products[Cost per unit])</f>
        <v>11.73</v>
      </c>
      <c r="I168" s="11" t="e">
        <f>[1]!data[[#This Row],[Cost per unit]]*[1]!data[[#This Row],[Units]]</f>
        <v>#REF!</v>
      </c>
    </row>
    <row r="169" spans="3:9" x14ac:dyDescent="0.3">
      <c r="C169" t="s">
        <v>6</v>
      </c>
      <c r="D169" t="s">
        <v>34</v>
      </c>
      <c r="E169" t="s">
        <v>30</v>
      </c>
      <c r="F169" s="4">
        <v>3402</v>
      </c>
      <c r="G169" s="5">
        <v>366</v>
      </c>
      <c r="H169" s="11">
        <f>_xlfn.XLOOKUP([1]!data[[#This Row],[Product]],[1]!products[Product],[1]!products[Cost per unit])</f>
        <v>14.49</v>
      </c>
      <c r="I169" s="11" t="e">
        <f>[1]!data[[#This Row],[Cost per unit]]*[1]!data[[#This Row],[Units]]</f>
        <v>#REF!</v>
      </c>
    </row>
    <row r="170" spans="3:9" x14ac:dyDescent="0.3">
      <c r="C170" t="s">
        <v>3</v>
      </c>
      <c r="D170" t="s">
        <v>37</v>
      </c>
      <c r="E170" t="s">
        <v>29</v>
      </c>
      <c r="F170" s="4">
        <v>4592</v>
      </c>
      <c r="G170" s="5">
        <v>324</v>
      </c>
      <c r="H170" s="11">
        <f>_xlfn.XLOOKUP([1]!data[[#This Row],[Product]],[1]!products[Product],[1]!products[Cost per unit])</f>
        <v>7.16</v>
      </c>
      <c r="I170" s="11" t="e">
        <f>[1]!data[[#This Row],[Cost per unit]]*[1]!data[[#This Row],[Units]]</f>
        <v>#REF!</v>
      </c>
    </row>
    <row r="171" spans="3:9" x14ac:dyDescent="0.3">
      <c r="C171" t="s">
        <v>9</v>
      </c>
      <c r="D171" t="s">
        <v>35</v>
      </c>
      <c r="E171" t="s">
        <v>15</v>
      </c>
      <c r="F171" s="4">
        <v>7833</v>
      </c>
      <c r="G171" s="5">
        <v>243</v>
      </c>
      <c r="H171" s="11">
        <f>_xlfn.XLOOKUP([1]!data[[#This Row],[Product]],[1]!products[Product],[1]!products[Cost per unit])</f>
        <v>11.73</v>
      </c>
      <c r="I171" s="11" t="e">
        <f>[1]!data[[#This Row],[Cost per unit]]*[1]!data[[#This Row],[Units]]</f>
        <v>#REF!</v>
      </c>
    </row>
    <row r="172" spans="3:9" x14ac:dyDescent="0.3">
      <c r="C172" t="s">
        <v>2</v>
      </c>
      <c r="D172" t="s">
        <v>39</v>
      </c>
      <c r="E172" t="s">
        <v>21</v>
      </c>
      <c r="F172" s="4">
        <v>7651</v>
      </c>
      <c r="G172" s="5">
        <v>213</v>
      </c>
      <c r="H172" s="11">
        <f>_xlfn.XLOOKUP([1]!data[[#This Row],[Product]],[1]!products[Product],[1]!products[Cost per unit])</f>
        <v>9</v>
      </c>
      <c r="I172" s="11" t="e">
        <f>[1]!data[[#This Row],[Cost per unit]]*[1]!data[[#This Row],[Units]]</f>
        <v>#REF!</v>
      </c>
    </row>
    <row r="173" spans="3:9" x14ac:dyDescent="0.3">
      <c r="C173" t="s">
        <v>40</v>
      </c>
      <c r="D173" t="s">
        <v>35</v>
      </c>
      <c r="E173" t="s">
        <v>30</v>
      </c>
      <c r="F173" s="4">
        <v>2275</v>
      </c>
      <c r="G173" s="5">
        <v>447</v>
      </c>
      <c r="H173" s="11">
        <f>_xlfn.XLOOKUP([1]!data[[#This Row],[Product]],[1]!products[Product],[1]!products[Cost per unit])</f>
        <v>14.49</v>
      </c>
      <c r="I173" s="11" t="e">
        <f>[1]!data[[#This Row],[Cost per unit]]*[1]!data[[#This Row],[Units]]</f>
        <v>#REF!</v>
      </c>
    </row>
    <row r="174" spans="3:9" x14ac:dyDescent="0.3">
      <c r="C174" t="s">
        <v>40</v>
      </c>
      <c r="D174" t="s">
        <v>38</v>
      </c>
      <c r="E174" t="s">
        <v>13</v>
      </c>
      <c r="F174" s="4">
        <v>5670</v>
      </c>
      <c r="G174" s="5">
        <v>297</v>
      </c>
      <c r="H174" s="11">
        <f>_xlfn.XLOOKUP([1]!data[[#This Row],[Product]],[1]!products[Product],[1]!products[Cost per unit])</f>
        <v>9.33</v>
      </c>
      <c r="I174" s="11" t="e">
        <f>[1]!data[[#This Row],[Cost per unit]]*[1]!data[[#This Row],[Units]]</f>
        <v>#REF!</v>
      </c>
    </row>
    <row r="175" spans="3:9" x14ac:dyDescent="0.3">
      <c r="C175" t="s">
        <v>7</v>
      </c>
      <c r="D175" t="s">
        <v>35</v>
      </c>
      <c r="E175" t="s">
        <v>16</v>
      </c>
      <c r="F175" s="4">
        <v>2135</v>
      </c>
      <c r="G175" s="5">
        <v>27</v>
      </c>
      <c r="H175" s="11">
        <f>_xlfn.XLOOKUP([1]!data[[#This Row],[Product]],[1]!products[Product],[1]!products[Cost per unit])</f>
        <v>8.7899999999999991</v>
      </c>
      <c r="I175" s="11" t="e">
        <f>[1]!data[[#This Row],[Cost per unit]]*[1]!data[[#This Row],[Units]]</f>
        <v>#REF!</v>
      </c>
    </row>
    <row r="176" spans="3:9" x14ac:dyDescent="0.3">
      <c r="C176" t="s">
        <v>40</v>
      </c>
      <c r="D176" t="s">
        <v>34</v>
      </c>
      <c r="E176" t="s">
        <v>23</v>
      </c>
      <c r="F176" s="4">
        <v>2779</v>
      </c>
      <c r="G176" s="5">
        <v>75</v>
      </c>
      <c r="H176" s="11">
        <f>_xlfn.XLOOKUP([1]!data[[#This Row],[Product]],[1]!products[Product],[1]!products[Cost per unit])</f>
        <v>6.49</v>
      </c>
      <c r="I176" s="11" t="e">
        <f>[1]!data[[#This Row],[Cost per unit]]*[1]!data[[#This Row],[Units]]</f>
        <v>#REF!</v>
      </c>
    </row>
    <row r="177" spans="3:9" x14ac:dyDescent="0.3">
      <c r="C177" t="s">
        <v>10</v>
      </c>
      <c r="D177" t="s">
        <v>39</v>
      </c>
      <c r="E177" t="s">
        <v>33</v>
      </c>
      <c r="F177" s="4">
        <v>12950</v>
      </c>
      <c r="G177" s="5">
        <v>30</v>
      </c>
      <c r="H177" s="11">
        <f>_xlfn.XLOOKUP([1]!data[[#This Row],[Product]],[1]!products[Product],[1]!products[Cost per unit])</f>
        <v>12.37</v>
      </c>
      <c r="I177" s="11" t="e">
        <f>[1]!data[[#This Row],[Cost per unit]]*[1]!data[[#This Row],[Units]]</f>
        <v>#REF!</v>
      </c>
    </row>
    <row r="178" spans="3:9" x14ac:dyDescent="0.3">
      <c r="C178" t="s">
        <v>7</v>
      </c>
      <c r="D178" t="s">
        <v>36</v>
      </c>
      <c r="E178" t="s">
        <v>18</v>
      </c>
      <c r="F178" s="4">
        <v>2646</v>
      </c>
      <c r="G178" s="5">
        <v>177</v>
      </c>
      <c r="H178" s="11">
        <f>_xlfn.XLOOKUP([1]!data[[#This Row],[Product]],[1]!products[Product],[1]!products[Cost per unit])</f>
        <v>6.47</v>
      </c>
      <c r="I178" s="11" t="e">
        <f>[1]!data[[#This Row],[Cost per unit]]*[1]!data[[#This Row],[Units]]</f>
        <v>#REF!</v>
      </c>
    </row>
    <row r="179" spans="3:9" x14ac:dyDescent="0.3">
      <c r="C179" t="s">
        <v>40</v>
      </c>
      <c r="D179" t="s">
        <v>34</v>
      </c>
      <c r="E179" t="s">
        <v>33</v>
      </c>
      <c r="F179" s="4">
        <v>3794</v>
      </c>
      <c r="G179" s="5">
        <v>159</v>
      </c>
      <c r="H179" s="11">
        <f>_xlfn.XLOOKUP([1]!data[[#This Row],[Product]],[1]!products[Product],[1]!products[Cost per unit])</f>
        <v>12.37</v>
      </c>
      <c r="I179" s="11" t="e">
        <f>[1]!data[[#This Row],[Cost per unit]]*[1]!data[[#This Row],[Units]]</f>
        <v>#REF!</v>
      </c>
    </row>
    <row r="180" spans="3:9" x14ac:dyDescent="0.3">
      <c r="C180" t="s">
        <v>3</v>
      </c>
      <c r="D180" t="s">
        <v>35</v>
      </c>
      <c r="E180" t="s">
        <v>33</v>
      </c>
      <c r="F180" s="4">
        <v>819</v>
      </c>
      <c r="G180" s="5">
        <v>306</v>
      </c>
      <c r="H180" s="11">
        <f>_xlfn.XLOOKUP([1]!data[[#This Row],[Product]],[1]!products[Product],[1]!products[Cost per unit])</f>
        <v>12.37</v>
      </c>
      <c r="I180" s="11" t="e">
        <f>[1]!data[[#This Row],[Cost per unit]]*[1]!data[[#This Row],[Units]]</f>
        <v>#REF!</v>
      </c>
    </row>
    <row r="181" spans="3:9" x14ac:dyDescent="0.3">
      <c r="C181" t="s">
        <v>3</v>
      </c>
      <c r="D181" t="s">
        <v>34</v>
      </c>
      <c r="E181" t="s">
        <v>20</v>
      </c>
      <c r="F181" s="4">
        <v>2583</v>
      </c>
      <c r="G181" s="5">
        <v>18</v>
      </c>
      <c r="H181" s="11">
        <f>_xlfn.XLOOKUP([1]!data[[#This Row],[Product]],[1]!products[Product],[1]!products[Cost per unit])</f>
        <v>10.62</v>
      </c>
      <c r="I181" s="11" t="e">
        <f>[1]!data[[#This Row],[Cost per unit]]*[1]!data[[#This Row],[Units]]</f>
        <v>#REF!</v>
      </c>
    </row>
    <row r="182" spans="3:9" x14ac:dyDescent="0.3">
      <c r="C182" t="s">
        <v>7</v>
      </c>
      <c r="D182" t="s">
        <v>35</v>
      </c>
      <c r="E182" t="s">
        <v>19</v>
      </c>
      <c r="F182" s="4">
        <v>4585</v>
      </c>
      <c r="G182" s="5">
        <v>240</v>
      </c>
      <c r="H182" s="11">
        <f>_xlfn.XLOOKUP([1]!data[[#This Row],[Product]],[1]!products[Product],[1]!products[Cost per unit])</f>
        <v>7.64</v>
      </c>
      <c r="I182" s="11" t="e">
        <f>[1]!data[[#This Row],[Cost per unit]]*[1]!data[[#This Row],[Units]]</f>
        <v>#REF!</v>
      </c>
    </row>
    <row r="183" spans="3:9" x14ac:dyDescent="0.3">
      <c r="C183" t="s">
        <v>5</v>
      </c>
      <c r="D183" t="s">
        <v>34</v>
      </c>
      <c r="E183" t="s">
        <v>33</v>
      </c>
      <c r="F183" s="4">
        <v>1652</v>
      </c>
      <c r="G183" s="5">
        <v>93</v>
      </c>
      <c r="H183" s="11">
        <f>_xlfn.XLOOKUP([1]!data[[#This Row],[Product]],[1]!products[Product],[1]!products[Cost per unit])</f>
        <v>12.37</v>
      </c>
      <c r="I183" s="11" t="e">
        <f>[1]!data[[#This Row],[Cost per unit]]*[1]!data[[#This Row],[Units]]</f>
        <v>#REF!</v>
      </c>
    </row>
    <row r="184" spans="3:9" x14ac:dyDescent="0.3">
      <c r="C184" t="s">
        <v>10</v>
      </c>
      <c r="D184" t="s">
        <v>34</v>
      </c>
      <c r="E184" t="s">
        <v>26</v>
      </c>
      <c r="F184" s="4">
        <v>4991</v>
      </c>
      <c r="G184" s="5">
        <v>9</v>
      </c>
      <c r="H184" s="11">
        <f>_xlfn.XLOOKUP([1]!data[[#This Row],[Product]],[1]!products[Product],[1]!products[Cost per unit])</f>
        <v>5.6</v>
      </c>
      <c r="I184" s="11" t="e">
        <f>[1]!data[[#This Row],[Cost per unit]]*[1]!data[[#This Row],[Units]]</f>
        <v>#REF!</v>
      </c>
    </row>
    <row r="185" spans="3:9" x14ac:dyDescent="0.3">
      <c r="C185" t="s">
        <v>8</v>
      </c>
      <c r="D185" t="s">
        <v>34</v>
      </c>
      <c r="E185" t="s">
        <v>16</v>
      </c>
      <c r="F185" s="4">
        <v>2009</v>
      </c>
      <c r="G185" s="5">
        <v>219</v>
      </c>
      <c r="H185" s="11">
        <f>_xlfn.XLOOKUP([1]!data[[#This Row],[Product]],[1]!products[Product],[1]!products[Cost per unit])</f>
        <v>8.7899999999999991</v>
      </c>
      <c r="I185" s="11" t="e">
        <f>[1]!data[[#This Row],[Cost per unit]]*[1]!data[[#This Row],[Units]]</f>
        <v>#REF!</v>
      </c>
    </row>
    <row r="186" spans="3:9" x14ac:dyDescent="0.3">
      <c r="C186" t="s">
        <v>2</v>
      </c>
      <c r="D186" t="s">
        <v>39</v>
      </c>
      <c r="E186" t="s">
        <v>22</v>
      </c>
      <c r="F186" s="4">
        <v>1568</v>
      </c>
      <c r="G186" s="5">
        <v>141</v>
      </c>
      <c r="H186" s="11">
        <f>_xlfn.XLOOKUP([1]!data[[#This Row],[Product]],[1]!products[Product],[1]!products[Cost per unit])</f>
        <v>9.77</v>
      </c>
      <c r="I186" s="11" t="e">
        <f>[1]!data[[#This Row],[Cost per unit]]*[1]!data[[#This Row],[Units]]</f>
        <v>#REF!</v>
      </c>
    </row>
    <row r="187" spans="3:9" x14ac:dyDescent="0.3">
      <c r="C187" t="s">
        <v>41</v>
      </c>
      <c r="D187" t="s">
        <v>37</v>
      </c>
      <c r="E187" t="s">
        <v>20</v>
      </c>
      <c r="F187" s="4">
        <v>3388</v>
      </c>
      <c r="G187" s="5">
        <v>123</v>
      </c>
      <c r="H187" s="11">
        <f>_xlfn.XLOOKUP([1]!data[[#This Row],[Product]],[1]!products[Product],[1]!products[Cost per unit])</f>
        <v>10.62</v>
      </c>
      <c r="I187" s="11" t="e">
        <f>[1]!data[[#This Row],[Cost per unit]]*[1]!data[[#This Row],[Units]]</f>
        <v>#REF!</v>
      </c>
    </row>
    <row r="188" spans="3:9" x14ac:dyDescent="0.3">
      <c r="C188" t="s">
        <v>40</v>
      </c>
      <c r="D188" t="s">
        <v>38</v>
      </c>
      <c r="E188" t="s">
        <v>24</v>
      </c>
      <c r="F188" s="4">
        <v>623</v>
      </c>
      <c r="G188" s="5">
        <v>51</v>
      </c>
      <c r="H188" s="11">
        <f>_xlfn.XLOOKUP([1]!data[[#This Row],[Product]],[1]!products[Product],[1]!products[Cost per unit])</f>
        <v>4.97</v>
      </c>
      <c r="I188" s="11" t="e">
        <f>[1]!data[[#This Row],[Cost per unit]]*[1]!data[[#This Row],[Units]]</f>
        <v>#REF!</v>
      </c>
    </row>
    <row r="189" spans="3:9" x14ac:dyDescent="0.3">
      <c r="C189" t="s">
        <v>6</v>
      </c>
      <c r="D189" t="s">
        <v>36</v>
      </c>
      <c r="E189" t="s">
        <v>4</v>
      </c>
      <c r="F189" s="4">
        <v>10073</v>
      </c>
      <c r="G189" s="5">
        <v>120</v>
      </c>
      <c r="H189" s="11">
        <f>_xlfn.XLOOKUP([1]!data[[#This Row],[Product]],[1]!products[Product],[1]!products[Cost per unit])</f>
        <v>11.88</v>
      </c>
      <c r="I189" s="11" t="e">
        <f>[1]!data[[#This Row],[Cost per unit]]*[1]!data[[#This Row],[Units]]</f>
        <v>#REF!</v>
      </c>
    </row>
    <row r="190" spans="3:9" x14ac:dyDescent="0.3">
      <c r="C190" t="s">
        <v>8</v>
      </c>
      <c r="D190" t="s">
        <v>39</v>
      </c>
      <c r="E190" t="s">
        <v>26</v>
      </c>
      <c r="F190" s="4">
        <v>1561</v>
      </c>
      <c r="G190" s="5">
        <v>27</v>
      </c>
      <c r="H190" s="11">
        <f>_xlfn.XLOOKUP([1]!data[[#This Row],[Product]],[1]!products[Product],[1]!products[Cost per unit])</f>
        <v>5.6</v>
      </c>
      <c r="I190" s="11" t="e">
        <f>[1]!data[[#This Row],[Cost per unit]]*[1]!data[[#This Row],[Units]]</f>
        <v>#REF!</v>
      </c>
    </row>
    <row r="191" spans="3:9" x14ac:dyDescent="0.3">
      <c r="C191" t="s">
        <v>9</v>
      </c>
      <c r="D191" t="s">
        <v>36</v>
      </c>
      <c r="E191" t="s">
        <v>27</v>
      </c>
      <c r="F191" s="4">
        <v>11522</v>
      </c>
      <c r="G191" s="5">
        <v>204</v>
      </c>
      <c r="H191" s="11">
        <f>_xlfn.XLOOKUP([1]!data[[#This Row],[Product]],[1]!products[Product],[1]!products[Cost per unit])</f>
        <v>16.73</v>
      </c>
      <c r="I191" s="11" t="e">
        <f>[1]!data[[#This Row],[Cost per unit]]*[1]!data[[#This Row],[Units]]</f>
        <v>#REF!</v>
      </c>
    </row>
    <row r="192" spans="3:9" x14ac:dyDescent="0.3">
      <c r="C192" t="s">
        <v>6</v>
      </c>
      <c r="D192" t="s">
        <v>38</v>
      </c>
      <c r="E192" t="s">
        <v>13</v>
      </c>
      <c r="F192" s="4">
        <v>2317</v>
      </c>
      <c r="G192" s="5">
        <v>123</v>
      </c>
      <c r="H192" s="11">
        <f>_xlfn.XLOOKUP([1]!data[[#This Row],[Product]],[1]!products[Product],[1]!products[Cost per unit])</f>
        <v>9.33</v>
      </c>
      <c r="I192" s="11" t="e">
        <f>[1]!data[[#This Row],[Cost per unit]]*[1]!data[[#This Row],[Units]]</f>
        <v>#REF!</v>
      </c>
    </row>
    <row r="193" spans="3:9" x14ac:dyDescent="0.3">
      <c r="C193" t="s">
        <v>10</v>
      </c>
      <c r="D193" t="s">
        <v>37</v>
      </c>
      <c r="E193" t="s">
        <v>28</v>
      </c>
      <c r="F193" s="4">
        <v>3059</v>
      </c>
      <c r="G193" s="5">
        <v>27</v>
      </c>
      <c r="H193" s="11">
        <f>_xlfn.XLOOKUP([1]!data[[#This Row],[Product]],[1]!products[Product],[1]!products[Cost per unit])</f>
        <v>10.38</v>
      </c>
      <c r="I193" s="11" t="e">
        <f>[1]!data[[#This Row],[Cost per unit]]*[1]!data[[#This Row],[Units]]</f>
        <v>#REF!</v>
      </c>
    </row>
    <row r="194" spans="3:9" x14ac:dyDescent="0.3">
      <c r="C194" t="s">
        <v>41</v>
      </c>
      <c r="D194" t="s">
        <v>37</v>
      </c>
      <c r="E194" t="s">
        <v>26</v>
      </c>
      <c r="F194" s="4">
        <v>2324</v>
      </c>
      <c r="G194" s="5">
        <v>177</v>
      </c>
      <c r="H194" s="11">
        <f>_xlfn.XLOOKUP([1]!data[[#This Row],[Product]],[1]!products[Product],[1]!products[Cost per unit])</f>
        <v>5.6</v>
      </c>
      <c r="I194" s="11" t="e">
        <f>[1]!data[[#This Row],[Cost per unit]]*[1]!data[[#This Row],[Units]]</f>
        <v>#REF!</v>
      </c>
    </row>
    <row r="195" spans="3:9" x14ac:dyDescent="0.3">
      <c r="C195" t="s">
        <v>3</v>
      </c>
      <c r="D195" t="s">
        <v>39</v>
      </c>
      <c r="E195" t="s">
        <v>26</v>
      </c>
      <c r="F195" s="4">
        <v>4956</v>
      </c>
      <c r="G195" s="5">
        <v>171</v>
      </c>
      <c r="H195" s="11">
        <f>_xlfn.XLOOKUP([1]!data[[#This Row],[Product]],[1]!products[Product],[1]!products[Cost per unit])</f>
        <v>5.6</v>
      </c>
      <c r="I195" s="11" t="e">
        <f>[1]!data[[#This Row],[Cost per unit]]*[1]!data[[#This Row],[Units]]</f>
        <v>#REF!</v>
      </c>
    </row>
    <row r="196" spans="3:9" x14ac:dyDescent="0.3">
      <c r="C196" t="s">
        <v>10</v>
      </c>
      <c r="D196" t="s">
        <v>34</v>
      </c>
      <c r="E196" t="s">
        <v>19</v>
      </c>
      <c r="F196" s="4">
        <v>5355</v>
      </c>
      <c r="G196" s="5">
        <v>204</v>
      </c>
      <c r="H196" s="11">
        <f>_xlfn.XLOOKUP([1]!data[[#This Row],[Product]],[1]!products[Product],[1]!products[Cost per unit])</f>
        <v>7.64</v>
      </c>
      <c r="I196" s="11" t="e">
        <f>[1]!data[[#This Row],[Cost per unit]]*[1]!data[[#This Row],[Units]]</f>
        <v>#REF!</v>
      </c>
    </row>
    <row r="197" spans="3:9" x14ac:dyDescent="0.3">
      <c r="C197" t="s">
        <v>3</v>
      </c>
      <c r="D197" t="s">
        <v>34</v>
      </c>
      <c r="E197" t="s">
        <v>14</v>
      </c>
      <c r="F197" s="4">
        <v>7259</v>
      </c>
      <c r="G197" s="5">
        <v>276</v>
      </c>
      <c r="H197" s="11">
        <f>_xlfn.XLOOKUP([1]!data[[#This Row],[Product]],[1]!products[Product],[1]!products[Cost per unit])</f>
        <v>11.7</v>
      </c>
      <c r="I197" s="11" t="e">
        <f>[1]!data[[#This Row],[Cost per unit]]*[1]!data[[#This Row],[Units]]</f>
        <v>#REF!</v>
      </c>
    </row>
    <row r="198" spans="3:9" x14ac:dyDescent="0.3">
      <c r="C198" t="s">
        <v>8</v>
      </c>
      <c r="D198" t="s">
        <v>37</v>
      </c>
      <c r="E198" t="s">
        <v>26</v>
      </c>
      <c r="F198" s="4">
        <v>6279</v>
      </c>
      <c r="G198" s="5">
        <v>45</v>
      </c>
      <c r="H198" s="11">
        <f>_xlfn.XLOOKUP([1]!data[[#This Row],[Product]],[1]!products[Product],[1]!products[Cost per unit])</f>
        <v>5.6</v>
      </c>
      <c r="I198" s="11" t="e">
        <f>[1]!data[[#This Row],[Cost per unit]]*[1]!data[[#This Row],[Units]]</f>
        <v>#REF!</v>
      </c>
    </row>
    <row r="199" spans="3:9" x14ac:dyDescent="0.3">
      <c r="C199" t="s">
        <v>40</v>
      </c>
      <c r="D199" t="s">
        <v>38</v>
      </c>
      <c r="E199" t="s">
        <v>29</v>
      </c>
      <c r="F199" s="4">
        <v>2541</v>
      </c>
      <c r="G199" s="5">
        <v>45</v>
      </c>
      <c r="H199" s="11">
        <f>_xlfn.XLOOKUP([1]!data[[#This Row],[Product]],[1]!products[Product],[1]!products[Cost per unit])</f>
        <v>7.16</v>
      </c>
      <c r="I199" s="11" t="e">
        <f>[1]!data[[#This Row],[Cost per unit]]*[1]!data[[#This Row],[Units]]</f>
        <v>#REF!</v>
      </c>
    </row>
    <row r="200" spans="3:9" x14ac:dyDescent="0.3">
      <c r="C200" t="s">
        <v>6</v>
      </c>
      <c r="D200" t="s">
        <v>35</v>
      </c>
      <c r="E200" t="s">
        <v>27</v>
      </c>
      <c r="F200" s="4">
        <v>3864</v>
      </c>
      <c r="G200" s="5">
        <v>177</v>
      </c>
      <c r="H200" s="11">
        <f>_xlfn.XLOOKUP([1]!data[[#This Row],[Product]],[1]!products[Product],[1]!products[Cost per unit])</f>
        <v>16.73</v>
      </c>
      <c r="I200" s="11" t="e">
        <f>[1]!data[[#This Row],[Cost per unit]]*[1]!data[[#This Row],[Units]]</f>
        <v>#REF!</v>
      </c>
    </row>
    <row r="201" spans="3:9" x14ac:dyDescent="0.3">
      <c r="C201" t="s">
        <v>5</v>
      </c>
      <c r="D201" t="s">
        <v>36</v>
      </c>
      <c r="E201" t="s">
        <v>13</v>
      </c>
      <c r="F201" s="4">
        <v>6146</v>
      </c>
      <c r="G201" s="5">
        <v>63</v>
      </c>
      <c r="H201" s="11">
        <f>_xlfn.XLOOKUP([1]!data[[#This Row],[Product]],[1]!products[Product],[1]!products[Cost per unit])</f>
        <v>9.33</v>
      </c>
      <c r="I201" s="11" t="e">
        <f>[1]!data[[#This Row],[Cost per unit]]*[1]!data[[#This Row],[Units]]</f>
        <v>#REF!</v>
      </c>
    </row>
    <row r="202" spans="3:9" x14ac:dyDescent="0.3">
      <c r="C202" t="s">
        <v>9</v>
      </c>
      <c r="D202" t="s">
        <v>39</v>
      </c>
      <c r="E202" t="s">
        <v>18</v>
      </c>
      <c r="F202" s="4">
        <v>2639</v>
      </c>
      <c r="G202" s="5">
        <v>204</v>
      </c>
      <c r="H202" s="11">
        <f>_xlfn.XLOOKUP([1]!data[[#This Row],[Product]],[1]!products[Product],[1]!products[Cost per unit])</f>
        <v>6.47</v>
      </c>
      <c r="I202" s="11" t="e">
        <f>[1]!data[[#This Row],[Cost per unit]]*[1]!data[[#This Row],[Units]]</f>
        <v>#REF!</v>
      </c>
    </row>
    <row r="203" spans="3:9" x14ac:dyDescent="0.3">
      <c r="C203" t="s">
        <v>8</v>
      </c>
      <c r="D203" t="s">
        <v>37</v>
      </c>
      <c r="E203" t="s">
        <v>22</v>
      </c>
      <c r="F203" s="4">
        <v>1890</v>
      </c>
      <c r="G203" s="5">
        <v>195</v>
      </c>
      <c r="H203" s="11">
        <f>_xlfn.XLOOKUP([1]!data[[#This Row],[Product]],[1]!products[Product],[1]!products[Cost per unit])</f>
        <v>9.77</v>
      </c>
      <c r="I203" s="11" t="e">
        <f>[1]!data[[#This Row],[Cost per unit]]*[1]!data[[#This Row],[Units]]</f>
        <v>#REF!</v>
      </c>
    </row>
    <row r="204" spans="3:9" x14ac:dyDescent="0.3">
      <c r="C204" t="s">
        <v>7</v>
      </c>
      <c r="D204" t="s">
        <v>34</v>
      </c>
      <c r="E204" t="s">
        <v>14</v>
      </c>
      <c r="F204" s="4">
        <v>1932</v>
      </c>
      <c r="G204" s="5">
        <v>369</v>
      </c>
      <c r="H204" s="11">
        <f>_xlfn.XLOOKUP([1]!data[[#This Row],[Product]],[1]!products[Product],[1]!products[Cost per unit])</f>
        <v>11.7</v>
      </c>
      <c r="I204" s="11" t="e">
        <f>[1]!data[[#This Row],[Cost per unit]]*[1]!data[[#This Row],[Units]]</f>
        <v>#REF!</v>
      </c>
    </row>
    <row r="205" spans="3:9" x14ac:dyDescent="0.3">
      <c r="C205" t="s">
        <v>3</v>
      </c>
      <c r="D205" t="s">
        <v>34</v>
      </c>
      <c r="E205" t="s">
        <v>25</v>
      </c>
      <c r="F205" s="4">
        <v>6300</v>
      </c>
      <c r="G205" s="5">
        <v>42</v>
      </c>
      <c r="H205" s="11">
        <f>_xlfn.XLOOKUP([1]!data[[#This Row],[Product]],[1]!products[Product],[1]!products[Cost per unit])</f>
        <v>13.15</v>
      </c>
      <c r="I205" s="11" t="e">
        <f>[1]!data[[#This Row],[Cost per unit]]*[1]!data[[#This Row],[Units]]</f>
        <v>#REF!</v>
      </c>
    </row>
    <row r="206" spans="3:9" x14ac:dyDescent="0.3">
      <c r="C206" t="s">
        <v>6</v>
      </c>
      <c r="D206" t="s">
        <v>37</v>
      </c>
      <c r="E206" t="s">
        <v>30</v>
      </c>
      <c r="F206" s="4">
        <v>560</v>
      </c>
      <c r="G206" s="5">
        <v>81</v>
      </c>
      <c r="H206" s="11">
        <f>_xlfn.XLOOKUP([1]!data[[#This Row],[Product]],[1]!products[Product],[1]!products[Cost per unit])</f>
        <v>14.49</v>
      </c>
      <c r="I206" s="11" t="e">
        <f>[1]!data[[#This Row],[Cost per unit]]*[1]!data[[#This Row],[Units]]</f>
        <v>#REF!</v>
      </c>
    </row>
    <row r="207" spans="3:9" x14ac:dyDescent="0.3">
      <c r="C207" t="s">
        <v>9</v>
      </c>
      <c r="D207" t="s">
        <v>37</v>
      </c>
      <c r="E207" t="s">
        <v>26</v>
      </c>
      <c r="F207" s="4">
        <v>2856</v>
      </c>
      <c r="G207" s="5">
        <v>246</v>
      </c>
      <c r="H207" s="11">
        <f>_xlfn.XLOOKUP([1]!data[[#This Row],[Product]],[1]!products[Product],[1]!products[Cost per unit])</f>
        <v>5.6</v>
      </c>
      <c r="I207" s="11" t="e">
        <f>[1]!data[[#This Row],[Cost per unit]]*[1]!data[[#This Row],[Units]]</f>
        <v>#REF!</v>
      </c>
    </row>
    <row r="208" spans="3:9" x14ac:dyDescent="0.3">
      <c r="C208" t="s">
        <v>9</v>
      </c>
      <c r="D208" t="s">
        <v>34</v>
      </c>
      <c r="E208" t="s">
        <v>17</v>
      </c>
      <c r="F208" s="4">
        <v>707</v>
      </c>
      <c r="G208" s="5">
        <v>174</v>
      </c>
      <c r="H208" s="11">
        <f>_xlfn.XLOOKUP([1]!data[[#This Row],[Product]],[1]!products[Product],[1]!products[Cost per unit])</f>
        <v>3.11</v>
      </c>
      <c r="I208" s="11" t="e">
        <f>[1]!data[[#This Row],[Cost per unit]]*[1]!data[[#This Row],[Units]]</f>
        <v>#REF!</v>
      </c>
    </row>
    <row r="209" spans="3:9" x14ac:dyDescent="0.3">
      <c r="C209" t="s">
        <v>8</v>
      </c>
      <c r="D209" t="s">
        <v>35</v>
      </c>
      <c r="E209" t="s">
        <v>30</v>
      </c>
      <c r="F209" s="4">
        <v>3598</v>
      </c>
      <c r="G209" s="5">
        <v>81</v>
      </c>
      <c r="H209" s="11">
        <f>_xlfn.XLOOKUP([1]!data[[#This Row],[Product]],[1]!products[Product],[1]!products[Cost per unit])</f>
        <v>14.49</v>
      </c>
      <c r="I209" s="11" t="e">
        <f>[1]!data[[#This Row],[Cost per unit]]*[1]!data[[#This Row],[Units]]</f>
        <v>#REF!</v>
      </c>
    </row>
    <row r="210" spans="3:9" x14ac:dyDescent="0.3">
      <c r="C210" t="s">
        <v>40</v>
      </c>
      <c r="D210" t="s">
        <v>35</v>
      </c>
      <c r="E210" t="s">
        <v>22</v>
      </c>
      <c r="F210" s="4">
        <v>6853</v>
      </c>
      <c r="G210" s="5">
        <v>372</v>
      </c>
      <c r="H210" s="11">
        <f>_xlfn.XLOOKUP([1]!data[[#This Row],[Product]],[1]!products[Product],[1]!products[Cost per unit])</f>
        <v>9.77</v>
      </c>
      <c r="I210" s="11" t="e">
        <f>[1]!data[[#This Row],[Cost per unit]]*[1]!data[[#This Row],[Units]]</f>
        <v>#REF!</v>
      </c>
    </row>
    <row r="211" spans="3:9" x14ac:dyDescent="0.3">
      <c r="C211" t="s">
        <v>40</v>
      </c>
      <c r="D211" t="s">
        <v>35</v>
      </c>
      <c r="E211" t="s">
        <v>16</v>
      </c>
      <c r="F211" s="4">
        <v>4725</v>
      </c>
      <c r="G211" s="5">
        <v>174</v>
      </c>
      <c r="H211" s="11">
        <f>_xlfn.XLOOKUP([1]!data[[#This Row],[Product]],[1]!products[Product],[1]!products[Cost per unit])</f>
        <v>8.7899999999999991</v>
      </c>
      <c r="I211" s="11" t="e">
        <f>[1]!data[[#This Row],[Cost per unit]]*[1]!data[[#This Row],[Units]]</f>
        <v>#REF!</v>
      </c>
    </row>
    <row r="212" spans="3:9" x14ac:dyDescent="0.3">
      <c r="C212" t="s">
        <v>41</v>
      </c>
      <c r="D212" t="s">
        <v>36</v>
      </c>
      <c r="E212" t="s">
        <v>32</v>
      </c>
      <c r="F212" s="4">
        <v>10304</v>
      </c>
      <c r="G212" s="5">
        <v>84</v>
      </c>
      <c r="H212" s="11">
        <f>_xlfn.XLOOKUP([1]!data[[#This Row],[Product]],[1]!products[Product],[1]!products[Cost per unit])</f>
        <v>8.65</v>
      </c>
      <c r="I212" s="11" t="e">
        <f>[1]!data[[#This Row],[Cost per unit]]*[1]!data[[#This Row],[Units]]</f>
        <v>#REF!</v>
      </c>
    </row>
    <row r="213" spans="3:9" x14ac:dyDescent="0.3">
      <c r="C213" t="s">
        <v>41</v>
      </c>
      <c r="D213" t="s">
        <v>34</v>
      </c>
      <c r="E213" t="s">
        <v>16</v>
      </c>
      <c r="F213" s="4">
        <v>1274</v>
      </c>
      <c r="G213" s="5">
        <v>225</v>
      </c>
      <c r="H213" s="11">
        <f>_xlfn.XLOOKUP([1]!data[[#This Row],[Product]],[1]!products[Product],[1]!products[Cost per unit])</f>
        <v>8.7899999999999991</v>
      </c>
      <c r="I213" s="11" t="e">
        <f>[1]!data[[#This Row],[Cost per unit]]*[1]!data[[#This Row],[Units]]</f>
        <v>#REF!</v>
      </c>
    </row>
    <row r="214" spans="3:9" x14ac:dyDescent="0.3">
      <c r="C214" t="s">
        <v>5</v>
      </c>
      <c r="D214" t="s">
        <v>36</v>
      </c>
      <c r="E214" t="s">
        <v>30</v>
      </c>
      <c r="F214" s="4">
        <v>1526</v>
      </c>
      <c r="G214" s="5">
        <v>105</v>
      </c>
      <c r="H214" s="11">
        <f>_xlfn.XLOOKUP([1]!data[[#This Row],[Product]],[1]!products[Product],[1]!products[Cost per unit])</f>
        <v>14.49</v>
      </c>
      <c r="I214" s="11" t="e">
        <f>[1]!data[[#This Row],[Cost per unit]]*[1]!data[[#This Row],[Units]]</f>
        <v>#REF!</v>
      </c>
    </row>
    <row r="215" spans="3:9" x14ac:dyDescent="0.3">
      <c r="C215" t="s">
        <v>40</v>
      </c>
      <c r="D215" t="s">
        <v>39</v>
      </c>
      <c r="E215" t="s">
        <v>28</v>
      </c>
      <c r="F215" s="4">
        <v>3101</v>
      </c>
      <c r="G215" s="5">
        <v>225</v>
      </c>
      <c r="H215" s="11">
        <f>_xlfn.XLOOKUP([1]!data[[#This Row],[Product]],[1]!products[Product],[1]!products[Cost per unit])</f>
        <v>10.38</v>
      </c>
      <c r="I215" s="11" t="e">
        <f>[1]!data[[#This Row],[Cost per unit]]*[1]!data[[#This Row],[Units]]</f>
        <v>#REF!</v>
      </c>
    </row>
    <row r="216" spans="3:9" x14ac:dyDescent="0.3">
      <c r="C216" t="s">
        <v>2</v>
      </c>
      <c r="D216" t="s">
        <v>37</v>
      </c>
      <c r="E216" t="s">
        <v>14</v>
      </c>
      <c r="F216" s="4">
        <v>1057</v>
      </c>
      <c r="G216" s="5">
        <v>54</v>
      </c>
      <c r="H216" s="11">
        <f>_xlfn.XLOOKUP([1]!data[[#This Row],[Product]],[1]!products[Product],[1]!products[Cost per unit])</f>
        <v>11.7</v>
      </c>
      <c r="I216" s="11" t="e">
        <f>[1]!data[[#This Row],[Cost per unit]]*[1]!data[[#This Row],[Units]]</f>
        <v>#REF!</v>
      </c>
    </row>
    <row r="217" spans="3:9" x14ac:dyDescent="0.3">
      <c r="C217" t="s">
        <v>7</v>
      </c>
      <c r="D217" t="s">
        <v>37</v>
      </c>
      <c r="E217" t="s">
        <v>26</v>
      </c>
      <c r="F217" s="4">
        <v>5306</v>
      </c>
      <c r="G217" s="5">
        <v>0</v>
      </c>
      <c r="H217" s="11">
        <f>_xlfn.XLOOKUP([1]!data[[#This Row],[Product]],[1]!products[Product],[1]!products[Cost per unit])</f>
        <v>5.6</v>
      </c>
      <c r="I217" s="11" t="e">
        <f>[1]!data[[#This Row],[Cost per unit]]*[1]!data[[#This Row],[Units]]</f>
        <v>#REF!</v>
      </c>
    </row>
    <row r="218" spans="3:9" x14ac:dyDescent="0.3">
      <c r="C218" t="s">
        <v>5</v>
      </c>
      <c r="D218" t="s">
        <v>39</v>
      </c>
      <c r="E218" t="s">
        <v>24</v>
      </c>
      <c r="F218" s="4">
        <v>4018</v>
      </c>
      <c r="G218" s="5">
        <v>171</v>
      </c>
      <c r="H218" s="11">
        <f>_xlfn.XLOOKUP([1]!data[[#This Row],[Product]],[1]!products[Product],[1]!products[Cost per unit])</f>
        <v>4.97</v>
      </c>
      <c r="I218" s="11" t="e">
        <f>[1]!data[[#This Row],[Cost per unit]]*[1]!data[[#This Row],[Units]]</f>
        <v>#REF!</v>
      </c>
    </row>
    <row r="219" spans="3:9" x14ac:dyDescent="0.3">
      <c r="C219" t="s">
        <v>9</v>
      </c>
      <c r="D219" t="s">
        <v>34</v>
      </c>
      <c r="E219" t="s">
        <v>16</v>
      </c>
      <c r="F219" s="4">
        <v>938</v>
      </c>
      <c r="G219" s="5">
        <v>189</v>
      </c>
      <c r="H219" s="11">
        <f>_xlfn.XLOOKUP([1]!data[[#This Row],[Product]],[1]!products[Product],[1]!products[Cost per unit])</f>
        <v>8.7899999999999991</v>
      </c>
      <c r="I219" s="11" t="e">
        <f>[1]!data[[#This Row],[Cost per unit]]*[1]!data[[#This Row],[Units]]</f>
        <v>#REF!</v>
      </c>
    </row>
    <row r="220" spans="3:9" x14ac:dyDescent="0.3">
      <c r="C220" t="s">
        <v>7</v>
      </c>
      <c r="D220" t="s">
        <v>38</v>
      </c>
      <c r="E220" t="s">
        <v>18</v>
      </c>
      <c r="F220" s="4">
        <v>1778</v>
      </c>
      <c r="G220" s="5">
        <v>270</v>
      </c>
      <c r="H220" s="11">
        <f>_xlfn.XLOOKUP([1]!data[[#This Row],[Product]],[1]!products[Product],[1]!products[Cost per unit])</f>
        <v>6.47</v>
      </c>
      <c r="I220" s="11" t="e">
        <f>[1]!data[[#This Row],[Cost per unit]]*[1]!data[[#This Row],[Units]]</f>
        <v>#REF!</v>
      </c>
    </row>
    <row r="221" spans="3:9" x14ac:dyDescent="0.3">
      <c r="C221" t="s">
        <v>6</v>
      </c>
      <c r="D221" t="s">
        <v>39</v>
      </c>
      <c r="E221" t="s">
        <v>30</v>
      </c>
      <c r="F221" s="4">
        <v>1638</v>
      </c>
      <c r="G221" s="5">
        <v>63</v>
      </c>
      <c r="H221" s="11">
        <f>_xlfn.XLOOKUP([1]!data[[#This Row],[Product]],[1]!products[Product],[1]!products[Cost per unit])</f>
        <v>14.49</v>
      </c>
      <c r="I221" s="11" t="e">
        <f>[1]!data[[#This Row],[Cost per unit]]*[1]!data[[#This Row],[Units]]</f>
        <v>#REF!</v>
      </c>
    </row>
    <row r="222" spans="3:9" x14ac:dyDescent="0.3">
      <c r="C222" t="s">
        <v>41</v>
      </c>
      <c r="D222" t="s">
        <v>38</v>
      </c>
      <c r="E222" t="s">
        <v>25</v>
      </c>
      <c r="F222" s="4">
        <v>154</v>
      </c>
      <c r="G222" s="5">
        <v>21</v>
      </c>
      <c r="H222" s="11">
        <f>_xlfn.XLOOKUP([1]!data[[#This Row],[Product]],[1]!products[Product],[1]!products[Cost per unit])</f>
        <v>13.15</v>
      </c>
      <c r="I222" s="11" t="e">
        <f>[1]!data[[#This Row],[Cost per unit]]*[1]!data[[#This Row],[Units]]</f>
        <v>#REF!</v>
      </c>
    </row>
    <row r="223" spans="3:9" x14ac:dyDescent="0.3">
      <c r="C223" t="s">
        <v>7</v>
      </c>
      <c r="D223" t="s">
        <v>37</v>
      </c>
      <c r="E223" t="s">
        <v>22</v>
      </c>
      <c r="F223" s="4">
        <v>9835</v>
      </c>
      <c r="G223" s="5">
        <v>207</v>
      </c>
      <c r="H223" s="11">
        <f>_xlfn.XLOOKUP([1]!data[[#This Row],[Product]],[1]!products[Product],[1]!products[Cost per unit])</f>
        <v>9.77</v>
      </c>
      <c r="I223" s="11" t="e">
        <f>[1]!data[[#This Row],[Cost per unit]]*[1]!data[[#This Row],[Units]]</f>
        <v>#REF!</v>
      </c>
    </row>
    <row r="224" spans="3:9" x14ac:dyDescent="0.3">
      <c r="C224" t="s">
        <v>9</v>
      </c>
      <c r="D224" t="s">
        <v>37</v>
      </c>
      <c r="E224" t="s">
        <v>20</v>
      </c>
      <c r="F224" s="4">
        <v>7273</v>
      </c>
      <c r="G224" s="5">
        <v>96</v>
      </c>
      <c r="H224" s="11">
        <f>_xlfn.XLOOKUP([1]!data[[#This Row],[Product]],[1]!products[Product],[1]!products[Cost per unit])</f>
        <v>10.62</v>
      </c>
      <c r="I224" s="11" t="e">
        <f>[1]!data[[#This Row],[Cost per unit]]*[1]!data[[#This Row],[Units]]</f>
        <v>#REF!</v>
      </c>
    </row>
    <row r="225" spans="3:9" x14ac:dyDescent="0.3">
      <c r="C225" t="s">
        <v>5</v>
      </c>
      <c r="D225" t="s">
        <v>39</v>
      </c>
      <c r="E225" t="s">
        <v>22</v>
      </c>
      <c r="F225" s="4">
        <v>6909</v>
      </c>
      <c r="G225" s="5">
        <v>81</v>
      </c>
      <c r="H225" s="11">
        <f>_xlfn.XLOOKUP([1]!data[[#This Row],[Product]],[1]!products[Product],[1]!products[Cost per unit])</f>
        <v>9.77</v>
      </c>
      <c r="I225" s="11" t="e">
        <f>[1]!data[[#This Row],[Cost per unit]]*[1]!data[[#This Row],[Units]]</f>
        <v>#REF!</v>
      </c>
    </row>
    <row r="226" spans="3:9" x14ac:dyDescent="0.3">
      <c r="C226" t="s">
        <v>9</v>
      </c>
      <c r="D226" t="s">
        <v>39</v>
      </c>
      <c r="E226" t="s">
        <v>24</v>
      </c>
      <c r="F226" s="4">
        <v>3920</v>
      </c>
      <c r="G226" s="5">
        <v>306</v>
      </c>
      <c r="H226" s="11">
        <f>_xlfn.XLOOKUP([1]!data[[#This Row],[Product]],[1]!products[Product],[1]!products[Cost per unit])</f>
        <v>4.97</v>
      </c>
      <c r="I226" s="11" t="e">
        <f>[1]!data[[#This Row],[Cost per unit]]*[1]!data[[#This Row],[Units]]</f>
        <v>#REF!</v>
      </c>
    </row>
    <row r="227" spans="3:9" x14ac:dyDescent="0.3">
      <c r="C227" t="s">
        <v>10</v>
      </c>
      <c r="D227" t="s">
        <v>39</v>
      </c>
      <c r="E227" t="s">
        <v>21</v>
      </c>
      <c r="F227" s="4">
        <v>4858</v>
      </c>
      <c r="G227" s="5">
        <v>279</v>
      </c>
      <c r="H227" s="11">
        <f>_xlfn.XLOOKUP([1]!data[[#This Row],[Product]],[1]!products[Product],[1]!products[Cost per unit])</f>
        <v>9</v>
      </c>
      <c r="I227" s="11" t="e">
        <f>[1]!data[[#This Row],[Cost per unit]]*[1]!data[[#This Row],[Units]]</f>
        <v>#REF!</v>
      </c>
    </row>
    <row r="228" spans="3:9" x14ac:dyDescent="0.3">
      <c r="C228" t="s">
        <v>2</v>
      </c>
      <c r="D228" t="s">
        <v>38</v>
      </c>
      <c r="E228" t="s">
        <v>4</v>
      </c>
      <c r="F228" s="4">
        <v>3549</v>
      </c>
      <c r="G228" s="5">
        <v>3</v>
      </c>
      <c r="H228" s="11">
        <f>_xlfn.XLOOKUP([1]!data[[#This Row],[Product]],[1]!products[Product],[1]!products[Cost per unit])</f>
        <v>11.88</v>
      </c>
      <c r="I228" s="11" t="e">
        <f>[1]!data[[#This Row],[Cost per unit]]*[1]!data[[#This Row],[Units]]</f>
        <v>#REF!</v>
      </c>
    </row>
    <row r="229" spans="3:9" x14ac:dyDescent="0.3">
      <c r="C229" t="s">
        <v>7</v>
      </c>
      <c r="D229" t="s">
        <v>39</v>
      </c>
      <c r="E229" t="s">
        <v>27</v>
      </c>
      <c r="F229" s="4">
        <v>966</v>
      </c>
      <c r="G229" s="5">
        <v>198</v>
      </c>
      <c r="H229" s="11">
        <f>_xlfn.XLOOKUP([1]!data[[#This Row],[Product]],[1]!products[Product],[1]!products[Cost per unit])</f>
        <v>16.73</v>
      </c>
      <c r="I229" s="11" t="e">
        <f>[1]!data[[#This Row],[Cost per unit]]*[1]!data[[#This Row],[Units]]</f>
        <v>#REF!</v>
      </c>
    </row>
    <row r="230" spans="3:9" x14ac:dyDescent="0.3">
      <c r="C230" t="s">
        <v>5</v>
      </c>
      <c r="D230" t="s">
        <v>39</v>
      </c>
      <c r="E230" t="s">
        <v>18</v>
      </c>
      <c r="F230" s="4">
        <v>385</v>
      </c>
      <c r="G230" s="5">
        <v>249</v>
      </c>
      <c r="H230" s="11">
        <f>_xlfn.XLOOKUP([1]!data[[#This Row],[Product]],[1]!products[Product],[1]!products[Cost per unit])</f>
        <v>6.47</v>
      </c>
      <c r="I230" s="11" t="e">
        <f>[1]!data[[#This Row],[Cost per unit]]*[1]!data[[#This Row],[Units]]</f>
        <v>#REF!</v>
      </c>
    </row>
    <row r="231" spans="3:9" x14ac:dyDescent="0.3">
      <c r="C231" t="s">
        <v>6</v>
      </c>
      <c r="D231" t="s">
        <v>34</v>
      </c>
      <c r="E231" t="s">
        <v>16</v>
      </c>
      <c r="F231" s="4">
        <v>2219</v>
      </c>
      <c r="G231" s="5">
        <v>75</v>
      </c>
      <c r="H231" s="11">
        <f>_xlfn.XLOOKUP([1]!data[[#This Row],[Product]],[1]!products[Product],[1]!products[Cost per unit])</f>
        <v>8.7899999999999991</v>
      </c>
      <c r="I231" s="11" t="e">
        <f>[1]!data[[#This Row],[Cost per unit]]*[1]!data[[#This Row],[Units]]</f>
        <v>#REF!</v>
      </c>
    </row>
    <row r="232" spans="3:9" x14ac:dyDescent="0.3">
      <c r="C232" t="s">
        <v>9</v>
      </c>
      <c r="D232" t="s">
        <v>36</v>
      </c>
      <c r="E232" t="s">
        <v>32</v>
      </c>
      <c r="F232" s="4">
        <v>2954</v>
      </c>
      <c r="G232" s="5">
        <v>189</v>
      </c>
      <c r="H232" s="11">
        <f>_xlfn.XLOOKUP([1]!data[[#This Row],[Product]],[1]!products[Product],[1]!products[Cost per unit])</f>
        <v>8.65</v>
      </c>
      <c r="I232" s="11" t="e">
        <f>[1]!data[[#This Row],[Cost per unit]]*[1]!data[[#This Row],[Units]]</f>
        <v>#REF!</v>
      </c>
    </row>
    <row r="233" spans="3:9" x14ac:dyDescent="0.3">
      <c r="C233" t="s">
        <v>7</v>
      </c>
      <c r="D233" t="s">
        <v>36</v>
      </c>
      <c r="E233" t="s">
        <v>32</v>
      </c>
      <c r="F233" s="4">
        <v>280</v>
      </c>
      <c r="G233" s="5">
        <v>87</v>
      </c>
      <c r="H233" s="11">
        <f>_xlfn.XLOOKUP([1]!data[[#This Row],[Product]],[1]!products[Product],[1]!products[Cost per unit])</f>
        <v>8.65</v>
      </c>
      <c r="I233" s="11" t="e">
        <f>[1]!data[[#This Row],[Cost per unit]]*[1]!data[[#This Row],[Units]]</f>
        <v>#REF!</v>
      </c>
    </row>
    <row r="234" spans="3:9" x14ac:dyDescent="0.3">
      <c r="C234" t="s">
        <v>41</v>
      </c>
      <c r="D234" t="s">
        <v>36</v>
      </c>
      <c r="E234" t="s">
        <v>30</v>
      </c>
      <c r="F234" s="4">
        <v>6118</v>
      </c>
      <c r="G234" s="5">
        <v>174</v>
      </c>
      <c r="H234" s="11">
        <f>_xlfn.XLOOKUP([1]!data[[#This Row],[Product]],[1]!products[Product],[1]!products[Cost per unit])</f>
        <v>14.49</v>
      </c>
      <c r="I234" s="11" t="e">
        <f>[1]!data[[#This Row],[Cost per unit]]*[1]!data[[#This Row],[Units]]</f>
        <v>#REF!</v>
      </c>
    </row>
    <row r="235" spans="3:9" x14ac:dyDescent="0.3">
      <c r="C235" t="s">
        <v>2</v>
      </c>
      <c r="D235" t="s">
        <v>39</v>
      </c>
      <c r="E235" t="s">
        <v>15</v>
      </c>
      <c r="F235" s="4">
        <v>4802</v>
      </c>
      <c r="G235" s="5">
        <v>36</v>
      </c>
      <c r="H235" s="11">
        <f>_xlfn.XLOOKUP([1]!data[[#This Row],[Product]],[1]!products[Product],[1]!products[Cost per unit])</f>
        <v>11.73</v>
      </c>
      <c r="I235" s="11" t="e">
        <f>[1]!data[[#This Row],[Cost per unit]]*[1]!data[[#This Row],[Units]]</f>
        <v>#REF!</v>
      </c>
    </row>
    <row r="236" spans="3:9" x14ac:dyDescent="0.3">
      <c r="C236" t="s">
        <v>9</v>
      </c>
      <c r="D236" t="s">
        <v>38</v>
      </c>
      <c r="E236" t="s">
        <v>24</v>
      </c>
      <c r="F236" s="4">
        <v>4137</v>
      </c>
      <c r="G236" s="5">
        <v>60</v>
      </c>
      <c r="H236" s="11">
        <f>_xlfn.XLOOKUP([1]!data[[#This Row],[Product]],[1]!products[Product],[1]!products[Cost per unit])</f>
        <v>4.97</v>
      </c>
      <c r="I236" s="11" t="e">
        <f>[1]!data[[#This Row],[Cost per unit]]*[1]!data[[#This Row],[Units]]</f>
        <v>#REF!</v>
      </c>
    </row>
    <row r="237" spans="3:9" x14ac:dyDescent="0.3">
      <c r="C237" t="s">
        <v>3</v>
      </c>
      <c r="D237" t="s">
        <v>35</v>
      </c>
      <c r="E237" t="s">
        <v>23</v>
      </c>
      <c r="F237" s="4">
        <v>2023</v>
      </c>
      <c r="G237" s="5">
        <v>78</v>
      </c>
      <c r="H237" s="11">
        <f>_xlfn.XLOOKUP([1]!data[[#This Row],[Product]],[1]!products[Product],[1]!products[Cost per unit])</f>
        <v>6.49</v>
      </c>
      <c r="I237" s="11" t="e">
        <f>[1]!data[[#This Row],[Cost per unit]]*[1]!data[[#This Row],[Units]]</f>
        <v>#REF!</v>
      </c>
    </row>
    <row r="238" spans="3:9" x14ac:dyDescent="0.3">
      <c r="C238" t="s">
        <v>9</v>
      </c>
      <c r="D238" t="s">
        <v>36</v>
      </c>
      <c r="E238" t="s">
        <v>30</v>
      </c>
      <c r="F238" s="4">
        <v>9051</v>
      </c>
      <c r="G238" s="5">
        <v>57</v>
      </c>
      <c r="H238" s="11">
        <f>_xlfn.XLOOKUP([1]!data[[#This Row],[Product]],[1]!products[Product],[1]!products[Cost per unit])</f>
        <v>14.49</v>
      </c>
      <c r="I238" s="11" t="e">
        <f>[1]!data[[#This Row],[Cost per unit]]*[1]!data[[#This Row],[Units]]</f>
        <v>#REF!</v>
      </c>
    </row>
    <row r="239" spans="3:9" x14ac:dyDescent="0.3">
      <c r="C239" t="s">
        <v>9</v>
      </c>
      <c r="D239" t="s">
        <v>37</v>
      </c>
      <c r="E239" t="s">
        <v>28</v>
      </c>
      <c r="F239" s="4">
        <v>2919</v>
      </c>
      <c r="G239" s="5">
        <v>45</v>
      </c>
      <c r="H239" s="11">
        <f>_xlfn.XLOOKUP([1]!data[[#This Row],[Product]],[1]!products[Product],[1]!products[Cost per unit])</f>
        <v>10.38</v>
      </c>
      <c r="I239" s="11" t="e">
        <f>[1]!data[[#This Row],[Cost per unit]]*[1]!data[[#This Row],[Units]]</f>
        <v>#REF!</v>
      </c>
    </row>
    <row r="240" spans="3:9" x14ac:dyDescent="0.3">
      <c r="C240" t="s">
        <v>41</v>
      </c>
      <c r="D240" t="s">
        <v>38</v>
      </c>
      <c r="E240" t="s">
        <v>22</v>
      </c>
      <c r="F240" s="4">
        <v>5915</v>
      </c>
      <c r="G240" s="5">
        <v>3</v>
      </c>
      <c r="H240" s="11">
        <f>_xlfn.XLOOKUP([1]!data[[#This Row],[Product]],[1]!products[Product],[1]!products[Cost per unit])</f>
        <v>9.77</v>
      </c>
      <c r="I240" s="11" t="e">
        <f>[1]!data[[#This Row],[Cost per unit]]*[1]!data[[#This Row],[Units]]</f>
        <v>#REF!</v>
      </c>
    </row>
    <row r="241" spans="3:9" x14ac:dyDescent="0.3">
      <c r="C241" t="s">
        <v>10</v>
      </c>
      <c r="D241" t="s">
        <v>35</v>
      </c>
      <c r="E241" t="s">
        <v>15</v>
      </c>
      <c r="F241" s="4">
        <v>2562</v>
      </c>
      <c r="G241" s="5">
        <v>6</v>
      </c>
      <c r="H241" s="11">
        <f>_xlfn.XLOOKUP([1]!data[[#This Row],[Product]],[1]!products[Product],[1]!products[Cost per unit])</f>
        <v>11.73</v>
      </c>
      <c r="I241" s="11" t="e">
        <f>[1]!data[[#This Row],[Cost per unit]]*[1]!data[[#This Row],[Units]]</f>
        <v>#REF!</v>
      </c>
    </row>
    <row r="242" spans="3:9" x14ac:dyDescent="0.3">
      <c r="C242" t="s">
        <v>5</v>
      </c>
      <c r="D242" t="s">
        <v>37</v>
      </c>
      <c r="E242" t="s">
        <v>25</v>
      </c>
      <c r="F242" s="4">
        <v>8813</v>
      </c>
      <c r="G242" s="5">
        <v>21</v>
      </c>
      <c r="H242" s="11">
        <f>_xlfn.XLOOKUP([1]!data[[#This Row],[Product]],[1]!products[Product],[1]!products[Cost per unit])</f>
        <v>13.15</v>
      </c>
      <c r="I242" s="11" t="e">
        <f>[1]!data[[#This Row],[Cost per unit]]*[1]!data[[#This Row],[Units]]</f>
        <v>#REF!</v>
      </c>
    </row>
    <row r="243" spans="3:9" x14ac:dyDescent="0.3">
      <c r="C243" t="s">
        <v>5</v>
      </c>
      <c r="D243" t="s">
        <v>36</v>
      </c>
      <c r="E243" t="s">
        <v>18</v>
      </c>
      <c r="F243" s="4">
        <v>6111</v>
      </c>
      <c r="G243" s="5">
        <v>3</v>
      </c>
      <c r="H243" s="11">
        <f>_xlfn.XLOOKUP([1]!data[[#This Row],[Product]],[1]!products[Product],[1]!products[Cost per unit])</f>
        <v>6.47</v>
      </c>
      <c r="I243" s="11" t="e">
        <f>[1]!data[[#This Row],[Cost per unit]]*[1]!data[[#This Row],[Units]]</f>
        <v>#REF!</v>
      </c>
    </row>
    <row r="244" spans="3:9" x14ac:dyDescent="0.3">
      <c r="C244" t="s">
        <v>8</v>
      </c>
      <c r="D244" t="s">
        <v>34</v>
      </c>
      <c r="E244" t="s">
        <v>31</v>
      </c>
      <c r="F244" s="4">
        <v>3507</v>
      </c>
      <c r="G244" s="5">
        <v>288</v>
      </c>
      <c r="H244" s="11">
        <f>_xlfn.XLOOKUP([1]!data[[#This Row],[Product]],[1]!products[Product],[1]!products[Cost per unit])</f>
        <v>5.79</v>
      </c>
      <c r="I244" s="11" t="e">
        <f>[1]!data[[#This Row],[Cost per unit]]*[1]!data[[#This Row],[Units]]</f>
        <v>#REF!</v>
      </c>
    </row>
    <row r="245" spans="3:9" x14ac:dyDescent="0.3">
      <c r="C245" t="s">
        <v>6</v>
      </c>
      <c r="D245" t="s">
        <v>36</v>
      </c>
      <c r="E245" t="s">
        <v>13</v>
      </c>
      <c r="F245" s="4">
        <v>4319</v>
      </c>
      <c r="G245" s="5">
        <v>30</v>
      </c>
      <c r="H245" s="11">
        <f>_xlfn.XLOOKUP([1]!data[[#This Row],[Product]],[1]!products[Product],[1]!products[Cost per unit])</f>
        <v>9.33</v>
      </c>
      <c r="I245" s="11" t="e">
        <f>[1]!data[[#This Row],[Cost per unit]]*[1]!data[[#This Row],[Units]]</f>
        <v>#REF!</v>
      </c>
    </row>
    <row r="246" spans="3:9" x14ac:dyDescent="0.3">
      <c r="C246" t="s">
        <v>40</v>
      </c>
      <c r="D246" t="s">
        <v>38</v>
      </c>
      <c r="E246" t="s">
        <v>26</v>
      </c>
      <c r="F246" s="4">
        <v>609</v>
      </c>
      <c r="G246" s="5">
        <v>87</v>
      </c>
      <c r="H246" s="11">
        <f>_xlfn.XLOOKUP([1]!data[[#This Row],[Product]],[1]!products[Product],[1]!products[Cost per unit])</f>
        <v>5.6</v>
      </c>
      <c r="I246" s="11" t="e">
        <f>[1]!data[[#This Row],[Cost per unit]]*[1]!data[[#This Row],[Units]]</f>
        <v>#REF!</v>
      </c>
    </row>
    <row r="247" spans="3:9" x14ac:dyDescent="0.3">
      <c r="C247" t="s">
        <v>40</v>
      </c>
      <c r="D247" t="s">
        <v>39</v>
      </c>
      <c r="E247" t="s">
        <v>27</v>
      </c>
      <c r="F247" s="4">
        <v>6370</v>
      </c>
      <c r="G247" s="5">
        <v>30</v>
      </c>
      <c r="H247" s="11">
        <f>_xlfn.XLOOKUP([1]!data[[#This Row],[Product]],[1]!products[Product],[1]!products[Cost per unit])</f>
        <v>16.73</v>
      </c>
      <c r="I247" s="11" t="e">
        <f>[1]!data[[#This Row],[Cost per unit]]*[1]!data[[#This Row],[Units]]</f>
        <v>#REF!</v>
      </c>
    </row>
    <row r="248" spans="3:9" x14ac:dyDescent="0.3">
      <c r="C248" t="s">
        <v>5</v>
      </c>
      <c r="D248" t="s">
        <v>38</v>
      </c>
      <c r="E248" t="s">
        <v>19</v>
      </c>
      <c r="F248" s="4">
        <v>5474</v>
      </c>
      <c r="G248" s="5">
        <v>168</v>
      </c>
      <c r="H248" s="11">
        <f>_xlfn.XLOOKUP([1]!data[[#This Row],[Product]],[1]!products[Product],[1]!products[Cost per unit])</f>
        <v>7.64</v>
      </c>
      <c r="I248" s="11" t="e">
        <f>[1]!data[[#This Row],[Cost per unit]]*[1]!data[[#This Row],[Units]]</f>
        <v>#REF!</v>
      </c>
    </row>
    <row r="249" spans="3:9" x14ac:dyDescent="0.3">
      <c r="C249" t="s">
        <v>40</v>
      </c>
      <c r="D249" t="s">
        <v>36</v>
      </c>
      <c r="E249" t="s">
        <v>27</v>
      </c>
      <c r="F249" s="4">
        <v>3164</v>
      </c>
      <c r="G249" s="5">
        <v>306</v>
      </c>
      <c r="H249" s="11">
        <f>_xlfn.XLOOKUP([1]!data[[#This Row],[Product]],[1]!products[Product],[1]!products[Cost per unit])</f>
        <v>16.73</v>
      </c>
      <c r="I249" s="11" t="e">
        <f>[1]!data[[#This Row],[Cost per unit]]*[1]!data[[#This Row],[Units]]</f>
        <v>#REF!</v>
      </c>
    </row>
    <row r="250" spans="3:9" x14ac:dyDescent="0.3">
      <c r="C250" t="s">
        <v>6</v>
      </c>
      <c r="D250" t="s">
        <v>35</v>
      </c>
      <c r="E250" t="s">
        <v>4</v>
      </c>
      <c r="F250" s="4">
        <v>1302</v>
      </c>
      <c r="G250" s="5">
        <v>402</v>
      </c>
      <c r="H250" s="11">
        <f>_xlfn.XLOOKUP([1]!data[[#This Row],[Product]],[1]!products[Product],[1]!products[Cost per unit])</f>
        <v>11.88</v>
      </c>
      <c r="I250" s="11" t="e">
        <f>[1]!data[[#This Row],[Cost per unit]]*[1]!data[[#This Row],[Units]]</f>
        <v>#REF!</v>
      </c>
    </row>
    <row r="251" spans="3:9" x14ac:dyDescent="0.3">
      <c r="C251" t="s">
        <v>3</v>
      </c>
      <c r="D251" t="s">
        <v>37</v>
      </c>
      <c r="E251" t="s">
        <v>28</v>
      </c>
      <c r="F251" s="4">
        <v>7308</v>
      </c>
      <c r="G251" s="5">
        <v>327</v>
      </c>
      <c r="H251" s="11">
        <f>_xlfn.XLOOKUP([1]!data[[#This Row],[Product]],[1]!products[Product],[1]!products[Cost per unit])</f>
        <v>10.38</v>
      </c>
      <c r="I251" s="11" t="e">
        <f>[1]!data[[#This Row],[Cost per unit]]*[1]!data[[#This Row],[Units]]</f>
        <v>#REF!</v>
      </c>
    </row>
    <row r="252" spans="3:9" x14ac:dyDescent="0.3">
      <c r="C252" t="s">
        <v>40</v>
      </c>
      <c r="D252" t="s">
        <v>37</v>
      </c>
      <c r="E252" t="s">
        <v>27</v>
      </c>
      <c r="F252" s="4">
        <v>6132</v>
      </c>
      <c r="G252" s="5">
        <v>93</v>
      </c>
      <c r="H252" s="11">
        <f>_xlfn.XLOOKUP([1]!data[[#This Row],[Product]],[1]!products[Product],[1]!products[Cost per unit])</f>
        <v>16.73</v>
      </c>
      <c r="I252" s="11" t="e">
        <f>[1]!data[[#This Row],[Cost per unit]]*[1]!data[[#This Row],[Units]]</f>
        <v>#REF!</v>
      </c>
    </row>
    <row r="253" spans="3:9" x14ac:dyDescent="0.3">
      <c r="C253" t="s">
        <v>10</v>
      </c>
      <c r="D253" t="s">
        <v>35</v>
      </c>
      <c r="E253" t="s">
        <v>14</v>
      </c>
      <c r="F253" s="4">
        <v>3472</v>
      </c>
      <c r="G253" s="5">
        <v>96</v>
      </c>
      <c r="H253" s="11">
        <f>_xlfn.XLOOKUP([1]!data[[#This Row],[Product]],[1]!products[Product],[1]!products[Cost per unit])</f>
        <v>11.7</v>
      </c>
      <c r="I253" s="11" t="e">
        <f>[1]!data[[#This Row],[Cost per unit]]*[1]!data[[#This Row],[Units]]</f>
        <v>#REF!</v>
      </c>
    </row>
    <row r="254" spans="3:9" x14ac:dyDescent="0.3">
      <c r="C254" t="s">
        <v>8</v>
      </c>
      <c r="D254" t="s">
        <v>39</v>
      </c>
      <c r="E254" t="s">
        <v>18</v>
      </c>
      <c r="F254" s="4">
        <v>9660</v>
      </c>
      <c r="G254" s="5">
        <v>27</v>
      </c>
      <c r="H254" s="11">
        <f>_xlfn.XLOOKUP([1]!data[[#This Row],[Product]],[1]!products[Product],[1]!products[Cost per unit])</f>
        <v>6.47</v>
      </c>
      <c r="I254" s="11" t="e">
        <f>[1]!data[[#This Row],[Cost per unit]]*[1]!data[[#This Row],[Units]]</f>
        <v>#REF!</v>
      </c>
    </row>
    <row r="255" spans="3:9" x14ac:dyDescent="0.3">
      <c r="C255" t="s">
        <v>9</v>
      </c>
      <c r="D255" t="s">
        <v>38</v>
      </c>
      <c r="E255" t="s">
        <v>26</v>
      </c>
      <c r="F255" s="4">
        <v>2436</v>
      </c>
      <c r="G255" s="5">
        <v>99</v>
      </c>
      <c r="H255" s="11">
        <f>_xlfn.XLOOKUP([1]!data[[#This Row],[Product]],[1]!products[Product],[1]!products[Cost per unit])</f>
        <v>5.6</v>
      </c>
      <c r="I255" s="11" t="e">
        <f>[1]!data[[#This Row],[Cost per unit]]*[1]!data[[#This Row],[Units]]</f>
        <v>#REF!</v>
      </c>
    </row>
    <row r="256" spans="3:9" x14ac:dyDescent="0.3">
      <c r="C256" t="s">
        <v>9</v>
      </c>
      <c r="D256" t="s">
        <v>38</v>
      </c>
      <c r="E256" t="s">
        <v>33</v>
      </c>
      <c r="F256" s="4">
        <v>9506</v>
      </c>
      <c r="G256" s="5">
        <v>87</v>
      </c>
      <c r="H256" s="11">
        <f>_xlfn.XLOOKUP([1]!data[[#This Row],[Product]],[1]!products[Product],[1]!products[Cost per unit])</f>
        <v>12.37</v>
      </c>
      <c r="I256" s="11" t="e">
        <f>[1]!data[[#This Row],[Cost per unit]]*[1]!data[[#This Row],[Units]]</f>
        <v>#REF!</v>
      </c>
    </row>
    <row r="257" spans="3:9" x14ac:dyDescent="0.3">
      <c r="C257" t="s">
        <v>10</v>
      </c>
      <c r="D257" t="s">
        <v>37</v>
      </c>
      <c r="E257" t="s">
        <v>21</v>
      </c>
      <c r="F257" s="4">
        <v>245</v>
      </c>
      <c r="G257" s="5">
        <v>288</v>
      </c>
      <c r="H257" s="11">
        <f>_xlfn.XLOOKUP([1]!data[[#This Row],[Product]],[1]!products[Product],[1]!products[Cost per unit])</f>
        <v>9</v>
      </c>
      <c r="I257" s="11" t="e">
        <f>[1]!data[[#This Row],[Cost per unit]]*[1]!data[[#This Row],[Units]]</f>
        <v>#REF!</v>
      </c>
    </row>
    <row r="258" spans="3:9" x14ac:dyDescent="0.3">
      <c r="C258" t="s">
        <v>8</v>
      </c>
      <c r="D258" t="s">
        <v>35</v>
      </c>
      <c r="E258" t="s">
        <v>20</v>
      </c>
      <c r="F258" s="4">
        <v>2702</v>
      </c>
      <c r="G258" s="5">
        <v>363</v>
      </c>
      <c r="H258" s="11">
        <f>_xlfn.XLOOKUP([1]!data[[#This Row],[Product]],[1]!products[Product],[1]!products[Cost per unit])</f>
        <v>10.62</v>
      </c>
      <c r="I258" s="11" t="e">
        <f>[1]!data[[#This Row],[Cost per unit]]*[1]!data[[#This Row],[Units]]</f>
        <v>#REF!</v>
      </c>
    </row>
    <row r="259" spans="3:9" x14ac:dyDescent="0.3">
      <c r="C259" t="s">
        <v>10</v>
      </c>
      <c r="D259" t="s">
        <v>34</v>
      </c>
      <c r="E259" t="s">
        <v>17</v>
      </c>
      <c r="F259" s="4">
        <v>700</v>
      </c>
      <c r="G259" s="5">
        <v>87</v>
      </c>
      <c r="H259" s="11">
        <f>_xlfn.XLOOKUP([1]!data[[#This Row],[Product]],[1]!products[Product],[1]!products[Cost per unit])</f>
        <v>3.11</v>
      </c>
      <c r="I259" s="11" t="e">
        <f>[1]!data[[#This Row],[Cost per unit]]*[1]!data[[#This Row],[Units]]</f>
        <v>#REF!</v>
      </c>
    </row>
    <row r="260" spans="3:9" x14ac:dyDescent="0.3">
      <c r="C260" t="s">
        <v>6</v>
      </c>
      <c r="D260" t="s">
        <v>34</v>
      </c>
      <c r="E260" t="s">
        <v>17</v>
      </c>
      <c r="F260" s="4">
        <v>3759</v>
      </c>
      <c r="G260" s="5">
        <v>150</v>
      </c>
      <c r="H260" s="11">
        <f>_xlfn.XLOOKUP([1]!data[[#This Row],[Product]],[1]!products[Product],[1]!products[Cost per unit])</f>
        <v>3.11</v>
      </c>
      <c r="I260" s="11" t="e">
        <f>[1]!data[[#This Row],[Cost per unit]]*[1]!data[[#This Row],[Units]]</f>
        <v>#REF!</v>
      </c>
    </row>
    <row r="261" spans="3:9" x14ac:dyDescent="0.3">
      <c r="C261" t="s">
        <v>2</v>
      </c>
      <c r="D261" t="s">
        <v>35</v>
      </c>
      <c r="E261" t="s">
        <v>17</v>
      </c>
      <c r="F261" s="4">
        <v>1589</v>
      </c>
      <c r="G261" s="5">
        <v>303</v>
      </c>
      <c r="H261" s="11">
        <f>_xlfn.XLOOKUP([1]!data[[#This Row],[Product]],[1]!products[Product],[1]!products[Cost per unit])</f>
        <v>3.11</v>
      </c>
      <c r="I261" s="11" t="e">
        <f>[1]!data[[#This Row],[Cost per unit]]*[1]!data[[#This Row],[Units]]</f>
        <v>#REF!</v>
      </c>
    </row>
    <row r="262" spans="3:9" x14ac:dyDescent="0.3">
      <c r="C262" t="s">
        <v>7</v>
      </c>
      <c r="D262" t="s">
        <v>35</v>
      </c>
      <c r="E262" t="s">
        <v>28</v>
      </c>
      <c r="F262" s="4">
        <v>5194</v>
      </c>
      <c r="G262" s="5">
        <v>288</v>
      </c>
      <c r="H262" s="11">
        <f>_xlfn.XLOOKUP([1]!data[[#This Row],[Product]],[1]!products[Product],[1]!products[Cost per unit])</f>
        <v>10.38</v>
      </c>
      <c r="I262" s="11" t="e">
        <f>[1]!data[[#This Row],[Cost per unit]]*[1]!data[[#This Row],[Units]]</f>
        <v>#REF!</v>
      </c>
    </row>
    <row r="263" spans="3:9" x14ac:dyDescent="0.3">
      <c r="C263" t="s">
        <v>10</v>
      </c>
      <c r="D263" t="s">
        <v>36</v>
      </c>
      <c r="E263" t="s">
        <v>13</v>
      </c>
      <c r="F263" s="4">
        <v>945</v>
      </c>
      <c r="G263" s="5">
        <v>75</v>
      </c>
      <c r="H263" s="11">
        <f>_xlfn.XLOOKUP([1]!data[[#This Row],[Product]],[1]!products[Product],[1]!products[Cost per unit])</f>
        <v>9.33</v>
      </c>
      <c r="I263" s="11" t="e">
        <f>[1]!data[[#This Row],[Cost per unit]]*[1]!data[[#This Row],[Units]]</f>
        <v>#REF!</v>
      </c>
    </row>
    <row r="264" spans="3:9" x14ac:dyDescent="0.3">
      <c r="C264" t="s">
        <v>40</v>
      </c>
      <c r="D264" t="s">
        <v>38</v>
      </c>
      <c r="E264" t="s">
        <v>31</v>
      </c>
      <c r="F264" s="4">
        <v>1988</v>
      </c>
      <c r="G264" s="5">
        <v>39</v>
      </c>
      <c r="H264" s="11">
        <f>_xlfn.XLOOKUP([1]!data[[#This Row],[Product]],[1]!products[Product],[1]!products[Cost per unit])</f>
        <v>5.79</v>
      </c>
      <c r="I264" s="11" t="e">
        <f>[1]!data[[#This Row],[Cost per unit]]*[1]!data[[#This Row],[Units]]</f>
        <v>#REF!</v>
      </c>
    </row>
    <row r="265" spans="3:9" x14ac:dyDescent="0.3">
      <c r="C265" t="s">
        <v>6</v>
      </c>
      <c r="D265" t="s">
        <v>34</v>
      </c>
      <c r="E265" t="s">
        <v>32</v>
      </c>
      <c r="F265" s="4">
        <v>6734</v>
      </c>
      <c r="G265" s="5">
        <v>123</v>
      </c>
      <c r="H265" s="11">
        <f>_xlfn.XLOOKUP([1]!data[[#This Row],[Product]],[1]!products[Product],[1]!products[Cost per unit])</f>
        <v>8.65</v>
      </c>
      <c r="I265" s="11" t="e">
        <f>[1]!data[[#This Row],[Cost per unit]]*[1]!data[[#This Row],[Units]]</f>
        <v>#REF!</v>
      </c>
    </row>
    <row r="266" spans="3:9" x14ac:dyDescent="0.3">
      <c r="C266" t="s">
        <v>40</v>
      </c>
      <c r="D266" t="s">
        <v>36</v>
      </c>
      <c r="E266" t="s">
        <v>4</v>
      </c>
      <c r="F266" s="4">
        <v>217</v>
      </c>
      <c r="G266" s="5">
        <v>36</v>
      </c>
      <c r="H266" s="11">
        <f>_xlfn.XLOOKUP([1]!data[[#This Row],[Product]],[1]!products[Product],[1]!products[Cost per unit])</f>
        <v>11.88</v>
      </c>
      <c r="I266" s="11" t="e">
        <f>[1]!data[[#This Row],[Cost per unit]]*[1]!data[[#This Row],[Units]]</f>
        <v>#REF!</v>
      </c>
    </row>
    <row r="267" spans="3:9" x14ac:dyDescent="0.3">
      <c r="C267" t="s">
        <v>5</v>
      </c>
      <c r="D267" t="s">
        <v>34</v>
      </c>
      <c r="E267" t="s">
        <v>22</v>
      </c>
      <c r="F267" s="4">
        <v>6279</v>
      </c>
      <c r="G267" s="5">
        <v>237</v>
      </c>
      <c r="H267" s="11">
        <f>_xlfn.XLOOKUP([1]!data[[#This Row],[Product]],[1]!products[Product],[1]!products[Cost per unit])</f>
        <v>9.77</v>
      </c>
      <c r="I267" s="11" t="e">
        <f>[1]!data[[#This Row],[Cost per unit]]*[1]!data[[#This Row],[Units]]</f>
        <v>#REF!</v>
      </c>
    </row>
    <row r="268" spans="3:9" x14ac:dyDescent="0.3">
      <c r="C268" t="s">
        <v>40</v>
      </c>
      <c r="D268" t="s">
        <v>36</v>
      </c>
      <c r="E268" t="s">
        <v>13</v>
      </c>
      <c r="F268" s="4">
        <v>4424</v>
      </c>
      <c r="G268" s="5">
        <v>201</v>
      </c>
      <c r="H268" s="11">
        <f>_xlfn.XLOOKUP([1]!data[[#This Row],[Product]],[1]!products[Product],[1]!products[Cost per unit])</f>
        <v>9.33</v>
      </c>
      <c r="I268" s="11" t="e">
        <f>[1]!data[[#This Row],[Cost per unit]]*[1]!data[[#This Row],[Units]]</f>
        <v>#REF!</v>
      </c>
    </row>
    <row r="269" spans="3:9" x14ac:dyDescent="0.3">
      <c r="C269" t="s">
        <v>2</v>
      </c>
      <c r="D269" t="s">
        <v>36</v>
      </c>
      <c r="E269" t="s">
        <v>17</v>
      </c>
      <c r="F269" s="4">
        <v>189</v>
      </c>
      <c r="G269" s="5">
        <v>48</v>
      </c>
      <c r="H269" s="11">
        <f>_xlfn.XLOOKUP([1]!data[[#This Row],[Product]],[1]!products[Product],[1]!products[Cost per unit])</f>
        <v>3.11</v>
      </c>
      <c r="I269" s="11" t="e">
        <f>[1]!data[[#This Row],[Cost per unit]]*[1]!data[[#This Row],[Units]]</f>
        <v>#REF!</v>
      </c>
    </row>
    <row r="270" spans="3:9" x14ac:dyDescent="0.3">
      <c r="C270" t="s">
        <v>5</v>
      </c>
      <c r="D270" t="s">
        <v>35</v>
      </c>
      <c r="E270" t="s">
        <v>22</v>
      </c>
      <c r="F270" s="4">
        <v>490</v>
      </c>
      <c r="G270" s="5">
        <v>84</v>
      </c>
      <c r="H270" s="11">
        <f>_xlfn.XLOOKUP([1]!data[[#This Row],[Product]],[1]!products[Product],[1]!products[Cost per unit])</f>
        <v>9.77</v>
      </c>
      <c r="I270" s="11" t="e">
        <f>[1]!data[[#This Row],[Cost per unit]]*[1]!data[[#This Row],[Units]]</f>
        <v>#REF!</v>
      </c>
    </row>
    <row r="271" spans="3:9" x14ac:dyDescent="0.3">
      <c r="C271" t="s">
        <v>8</v>
      </c>
      <c r="D271" t="s">
        <v>37</v>
      </c>
      <c r="E271" t="s">
        <v>21</v>
      </c>
      <c r="F271" s="4">
        <v>434</v>
      </c>
      <c r="G271" s="5">
        <v>87</v>
      </c>
      <c r="H271" s="11">
        <f>_xlfn.XLOOKUP([1]!data[[#This Row],[Product]],[1]!products[Product],[1]!products[Cost per unit])</f>
        <v>9</v>
      </c>
      <c r="I271" s="11" t="e">
        <f>[1]!data[[#This Row],[Cost per unit]]*[1]!data[[#This Row],[Units]]</f>
        <v>#REF!</v>
      </c>
    </row>
    <row r="272" spans="3:9" x14ac:dyDescent="0.3">
      <c r="C272" t="s">
        <v>7</v>
      </c>
      <c r="D272" t="s">
        <v>38</v>
      </c>
      <c r="E272" t="s">
        <v>30</v>
      </c>
      <c r="F272" s="4">
        <v>10129</v>
      </c>
      <c r="G272" s="5">
        <v>312</v>
      </c>
      <c r="H272" s="11">
        <f>_xlfn.XLOOKUP([1]!data[[#This Row],[Product]],[1]!products[Product],[1]!products[Cost per unit])</f>
        <v>14.49</v>
      </c>
      <c r="I272" s="11" t="e">
        <f>[1]!data[[#This Row],[Cost per unit]]*[1]!data[[#This Row],[Units]]</f>
        <v>#REF!</v>
      </c>
    </row>
    <row r="273" spans="3:9" x14ac:dyDescent="0.3">
      <c r="C273" t="s">
        <v>3</v>
      </c>
      <c r="D273" t="s">
        <v>39</v>
      </c>
      <c r="E273" t="s">
        <v>28</v>
      </c>
      <c r="F273" s="4">
        <v>1652</v>
      </c>
      <c r="G273" s="5">
        <v>102</v>
      </c>
      <c r="H273" s="11">
        <f>_xlfn.XLOOKUP([1]!data[[#This Row],[Product]],[1]!products[Product],[1]!products[Cost per unit])</f>
        <v>10.38</v>
      </c>
      <c r="I273" s="11" t="e">
        <f>[1]!data[[#This Row],[Cost per unit]]*[1]!data[[#This Row],[Units]]</f>
        <v>#REF!</v>
      </c>
    </row>
    <row r="274" spans="3:9" x14ac:dyDescent="0.3">
      <c r="C274" t="s">
        <v>8</v>
      </c>
      <c r="D274" t="s">
        <v>38</v>
      </c>
      <c r="E274" t="s">
        <v>21</v>
      </c>
      <c r="F274" s="4">
        <v>6433</v>
      </c>
      <c r="G274" s="5">
        <v>78</v>
      </c>
      <c r="H274" s="11">
        <f>_xlfn.XLOOKUP([1]!data[[#This Row],[Product]],[1]!products[Product],[1]!products[Cost per unit])</f>
        <v>9</v>
      </c>
      <c r="I274" s="11" t="e">
        <f>[1]!data[[#This Row],[Cost per unit]]*[1]!data[[#This Row],[Units]]</f>
        <v>#REF!</v>
      </c>
    </row>
    <row r="275" spans="3:9" x14ac:dyDescent="0.3">
      <c r="C275" t="s">
        <v>3</v>
      </c>
      <c r="D275" t="s">
        <v>34</v>
      </c>
      <c r="E275" t="s">
        <v>23</v>
      </c>
      <c r="F275" s="4">
        <v>2212</v>
      </c>
      <c r="G275" s="5">
        <v>117</v>
      </c>
      <c r="H275" s="11">
        <f>_xlfn.XLOOKUP([1]!data[[#This Row],[Product]],[1]!products[Product],[1]!products[Cost per unit])</f>
        <v>6.49</v>
      </c>
      <c r="I275" s="11" t="e">
        <f>[1]!data[[#This Row],[Cost per unit]]*[1]!data[[#This Row],[Units]]</f>
        <v>#REF!</v>
      </c>
    </row>
    <row r="276" spans="3:9" x14ac:dyDescent="0.3">
      <c r="C276" t="s">
        <v>41</v>
      </c>
      <c r="D276" t="s">
        <v>35</v>
      </c>
      <c r="E276" t="s">
        <v>19</v>
      </c>
      <c r="F276" s="4">
        <v>609</v>
      </c>
      <c r="G276" s="5">
        <v>99</v>
      </c>
      <c r="H276" s="11">
        <f>_xlfn.XLOOKUP([1]!data[[#This Row],[Product]],[1]!products[Product],[1]!products[Cost per unit])</f>
        <v>7.64</v>
      </c>
      <c r="I276" s="11" t="e">
        <f>[1]!data[[#This Row],[Cost per unit]]*[1]!data[[#This Row],[Units]]</f>
        <v>#REF!</v>
      </c>
    </row>
    <row r="277" spans="3:9" x14ac:dyDescent="0.3">
      <c r="C277" t="s">
        <v>40</v>
      </c>
      <c r="D277" t="s">
        <v>35</v>
      </c>
      <c r="E277" t="s">
        <v>24</v>
      </c>
      <c r="F277" s="4">
        <v>1638</v>
      </c>
      <c r="G277" s="5">
        <v>48</v>
      </c>
      <c r="H277" s="11">
        <f>_xlfn.XLOOKUP([1]!data[[#This Row],[Product]],[1]!products[Product],[1]!products[Cost per unit])</f>
        <v>4.97</v>
      </c>
      <c r="I277" s="11" t="e">
        <f>[1]!data[[#This Row],[Cost per unit]]*[1]!data[[#This Row],[Units]]</f>
        <v>#REF!</v>
      </c>
    </row>
    <row r="278" spans="3:9" x14ac:dyDescent="0.3">
      <c r="C278" t="s">
        <v>7</v>
      </c>
      <c r="D278" t="s">
        <v>34</v>
      </c>
      <c r="E278" t="s">
        <v>15</v>
      </c>
      <c r="F278" s="4">
        <v>3829</v>
      </c>
      <c r="G278" s="5">
        <v>24</v>
      </c>
      <c r="H278" s="11">
        <f>_xlfn.XLOOKUP([1]!data[[#This Row],[Product]],[1]!products[Product],[1]!products[Cost per unit])</f>
        <v>11.73</v>
      </c>
      <c r="I278" s="11" t="e">
        <f>[1]!data[[#This Row],[Cost per unit]]*[1]!data[[#This Row],[Units]]</f>
        <v>#REF!</v>
      </c>
    </row>
    <row r="279" spans="3:9" x14ac:dyDescent="0.3">
      <c r="C279" t="s">
        <v>40</v>
      </c>
      <c r="D279" t="s">
        <v>39</v>
      </c>
      <c r="E279" t="s">
        <v>15</v>
      </c>
      <c r="F279" s="4">
        <v>5775</v>
      </c>
      <c r="G279" s="5">
        <v>42</v>
      </c>
      <c r="H279" s="11">
        <f>_xlfn.XLOOKUP([1]!data[[#This Row],[Product]],[1]!products[Product],[1]!products[Cost per unit])</f>
        <v>11.73</v>
      </c>
      <c r="I279" s="11" t="e">
        <f>[1]!data[[#This Row],[Cost per unit]]*[1]!data[[#This Row],[Units]]</f>
        <v>#REF!</v>
      </c>
    </row>
    <row r="280" spans="3:9" x14ac:dyDescent="0.3">
      <c r="C280" t="s">
        <v>6</v>
      </c>
      <c r="D280" t="s">
        <v>35</v>
      </c>
      <c r="E280" t="s">
        <v>20</v>
      </c>
      <c r="F280" s="4">
        <v>1071</v>
      </c>
      <c r="G280" s="5">
        <v>270</v>
      </c>
      <c r="H280" s="11">
        <f>_xlfn.XLOOKUP([1]!data[[#This Row],[Product]],[1]!products[Product],[1]!products[Cost per unit])</f>
        <v>10.62</v>
      </c>
      <c r="I280" s="11" t="e">
        <f>[1]!data[[#This Row],[Cost per unit]]*[1]!data[[#This Row],[Units]]</f>
        <v>#REF!</v>
      </c>
    </row>
    <row r="281" spans="3:9" x14ac:dyDescent="0.3">
      <c r="C281" t="s">
        <v>8</v>
      </c>
      <c r="D281" t="s">
        <v>36</v>
      </c>
      <c r="E281" t="s">
        <v>23</v>
      </c>
      <c r="F281" s="4">
        <v>5019</v>
      </c>
      <c r="G281" s="5">
        <v>150</v>
      </c>
      <c r="H281" s="11">
        <f>_xlfn.XLOOKUP([1]!data[[#This Row],[Product]],[1]!products[Product],[1]!products[Cost per unit])</f>
        <v>6.49</v>
      </c>
      <c r="I281" s="11" t="e">
        <f>[1]!data[[#This Row],[Cost per unit]]*[1]!data[[#This Row],[Units]]</f>
        <v>#REF!</v>
      </c>
    </row>
    <row r="282" spans="3:9" x14ac:dyDescent="0.3">
      <c r="C282" t="s">
        <v>2</v>
      </c>
      <c r="D282" t="s">
        <v>37</v>
      </c>
      <c r="E282" t="s">
        <v>15</v>
      </c>
      <c r="F282" s="4">
        <v>2863</v>
      </c>
      <c r="G282" s="5">
        <v>42</v>
      </c>
      <c r="H282" s="11">
        <f>_xlfn.XLOOKUP([1]!data[[#This Row],[Product]],[1]!products[Product],[1]!products[Cost per unit])</f>
        <v>11.73</v>
      </c>
      <c r="I282" s="11" t="e">
        <f>[1]!data[[#This Row],[Cost per unit]]*[1]!data[[#This Row],[Units]]</f>
        <v>#REF!</v>
      </c>
    </row>
    <row r="283" spans="3:9" x14ac:dyDescent="0.3">
      <c r="C283" t="s">
        <v>40</v>
      </c>
      <c r="D283" t="s">
        <v>35</v>
      </c>
      <c r="E283" t="s">
        <v>29</v>
      </c>
      <c r="F283" s="4">
        <v>1617</v>
      </c>
      <c r="G283" s="5">
        <v>126</v>
      </c>
      <c r="H283" s="11">
        <f>_xlfn.XLOOKUP([1]!data[[#This Row],[Product]],[1]!products[Product],[1]!products[Cost per unit])</f>
        <v>7.16</v>
      </c>
      <c r="I283" s="11" t="e">
        <f>[1]!data[[#This Row],[Cost per unit]]*[1]!data[[#This Row],[Units]]</f>
        <v>#REF!</v>
      </c>
    </row>
    <row r="284" spans="3:9" x14ac:dyDescent="0.3">
      <c r="C284" t="s">
        <v>6</v>
      </c>
      <c r="D284" t="s">
        <v>37</v>
      </c>
      <c r="E284" t="s">
        <v>26</v>
      </c>
      <c r="F284" s="4">
        <v>6818</v>
      </c>
      <c r="G284" s="5">
        <v>6</v>
      </c>
      <c r="H284" s="11">
        <f>_xlfn.XLOOKUP([1]!data[[#This Row],[Product]],[1]!products[Product],[1]!products[Cost per unit])</f>
        <v>5.6</v>
      </c>
      <c r="I284" s="11" t="e">
        <f>[1]!data[[#This Row],[Cost per unit]]*[1]!data[[#This Row],[Units]]</f>
        <v>#REF!</v>
      </c>
    </row>
    <row r="285" spans="3:9" x14ac:dyDescent="0.3">
      <c r="C285" t="s">
        <v>3</v>
      </c>
      <c r="D285" t="s">
        <v>35</v>
      </c>
      <c r="E285" t="s">
        <v>15</v>
      </c>
      <c r="F285" s="4">
        <v>6657</v>
      </c>
      <c r="G285" s="5">
        <v>276</v>
      </c>
      <c r="H285" s="11">
        <f>_xlfn.XLOOKUP([1]!data[[#This Row],[Product]],[1]!products[Product],[1]!products[Cost per unit])</f>
        <v>11.73</v>
      </c>
      <c r="I285" s="11" t="e">
        <f>[1]!data[[#This Row],[Cost per unit]]*[1]!data[[#This Row],[Units]]</f>
        <v>#REF!</v>
      </c>
    </row>
    <row r="286" spans="3:9" x14ac:dyDescent="0.3">
      <c r="C286" t="s">
        <v>3</v>
      </c>
      <c r="D286" t="s">
        <v>34</v>
      </c>
      <c r="E286" t="s">
        <v>17</v>
      </c>
      <c r="F286" s="4">
        <v>2919</v>
      </c>
      <c r="G286" s="5">
        <v>93</v>
      </c>
      <c r="H286" s="11">
        <f>_xlfn.XLOOKUP([1]!data[[#This Row],[Product]],[1]!products[Product],[1]!products[Cost per unit])</f>
        <v>3.11</v>
      </c>
      <c r="I286" s="11" t="e">
        <f>[1]!data[[#This Row],[Cost per unit]]*[1]!data[[#This Row],[Units]]</f>
        <v>#REF!</v>
      </c>
    </row>
    <row r="287" spans="3:9" x14ac:dyDescent="0.3">
      <c r="C287" t="s">
        <v>2</v>
      </c>
      <c r="D287" t="s">
        <v>36</v>
      </c>
      <c r="E287" t="s">
        <v>31</v>
      </c>
      <c r="F287" s="4">
        <v>3094</v>
      </c>
      <c r="G287" s="5">
        <v>246</v>
      </c>
      <c r="H287" s="11">
        <f>_xlfn.XLOOKUP([1]!data[[#This Row],[Product]],[1]!products[Product],[1]!products[Cost per unit])</f>
        <v>5.79</v>
      </c>
      <c r="I287" s="11" t="e">
        <f>[1]!data[[#This Row],[Cost per unit]]*[1]!data[[#This Row],[Units]]</f>
        <v>#REF!</v>
      </c>
    </row>
    <row r="288" spans="3:9" x14ac:dyDescent="0.3">
      <c r="C288" t="s">
        <v>6</v>
      </c>
      <c r="D288" t="s">
        <v>39</v>
      </c>
      <c r="E288" t="s">
        <v>24</v>
      </c>
      <c r="F288" s="4">
        <v>2989</v>
      </c>
      <c r="G288" s="5">
        <v>3</v>
      </c>
      <c r="H288" s="11">
        <f>_xlfn.XLOOKUP([1]!data[[#This Row],[Product]],[1]!products[Product],[1]!products[Cost per unit])</f>
        <v>4.97</v>
      </c>
      <c r="I288" s="11" t="e">
        <f>[1]!data[[#This Row],[Cost per unit]]*[1]!data[[#This Row],[Units]]</f>
        <v>#REF!</v>
      </c>
    </row>
    <row r="289" spans="3:9" x14ac:dyDescent="0.3">
      <c r="C289" t="s">
        <v>8</v>
      </c>
      <c r="D289" t="s">
        <v>38</v>
      </c>
      <c r="E289" t="s">
        <v>27</v>
      </c>
      <c r="F289" s="4">
        <v>2268</v>
      </c>
      <c r="G289" s="5">
        <v>63</v>
      </c>
      <c r="H289" s="11">
        <f>_xlfn.XLOOKUP([1]!data[[#This Row],[Product]],[1]!products[Product],[1]!products[Cost per unit])</f>
        <v>16.73</v>
      </c>
      <c r="I289" s="11" t="e">
        <f>[1]!data[[#This Row],[Cost per unit]]*[1]!data[[#This Row],[Units]]</f>
        <v>#REF!</v>
      </c>
    </row>
    <row r="290" spans="3:9" x14ac:dyDescent="0.3">
      <c r="C290" t="s">
        <v>5</v>
      </c>
      <c r="D290" t="s">
        <v>35</v>
      </c>
      <c r="E290" t="s">
        <v>31</v>
      </c>
      <c r="F290" s="4">
        <v>4753</v>
      </c>
      <c r="G290" s="5">
        <v>246</v>
      </c>
      <c r="H290" s="11">
        <f>_xlfn.XLOOKUP([1]!data[[#This Row],[Product]],[1]!products[Product],[1]!products[Cost per unit])</f>
        <v>5.79</v>
      </c>
      <c r="I290" s="11" t="e">
        <f>[1]!data[[#This Row],[Cost per unit]]*[1]!data[[#This Row],[Units]]</f>
        <v>#REF!</v>
      </c>
    </row>
    <row r="291" spans="3:9" x14ac:dyDescent="0.3">
      <c r="C291" t="s">
        <v>2</v>
      </c>
      <c r="D291" t="s">
        <v>34</v>
      </c>
      <c r="E291" t="s">
        <v>19</v>
      </c>
      <c r="F291" s="4">
        <v>7511</v>
      </c>
      <c r="G291" s="5">
        <v>120</v>
      </c>
      <c r="H291" s="11">
        <f>_xlfn.XLOOKUP([1]!data[[#This Row],[Product]],[1]!products[Product],[1]!products[Cost per unit])</f>
        <v>7.64</v>
      </c>
      <c r="I291" s="11" t="e">
        <f>[1]!data[[#This Row],[Cost per unit]]*[1]!data[[#This Row],[Units]]</f>
        <v>#REF!</v>
      </c>
    </row>
    <row r="292" spans="3:9" x14ac:dyDescent="0.3">
      <c r="C292" t="s">
        <v>2</v>
      </c>
      <c r="D292" t="s">
        <v>38</v>
      </c>
      <c r="E292" t="s">
        <v>31</v>
      </c>
      <c r="F292" s="4">
        <v>4326</v>
      </c>
      <c r="G292" s="5">
        <v>348</v>
      </c>
      <c r="H292" s="11">
        <f>_xlfn.XLOOKUP([1]!data[[#This Row],[Product]],[1]!products[Product],[1]!products[Cost per unit])</f>
        <v>5.79</v>
      </c>
      <c r="I292" s="11" t="e">
        <f>[1]!data[[#This Row],[Cost per unit]]*[1]!data[[#This Row],[Units]]</f>
        <v>#REF!</v>
      </c>
    </row>
    <row r="293" spans="3:9" x14ac:dyDescent="0.3">
      <c r="C293" t="s">
        <v>41</v>
      </c>
      <c r="D293" t="s">
        <v>34</v>
      </c>
      <c r="E293" t="s">
        <v>23</v>
      </c>
      <c r="F293" s="4">
        <v>4935</v>
      </c>
      <c r="G293" s="5">
        <v>126</v>
      </c>
      <c r="H293" s="11">
        <f>_xlfn.XLOOKUP([1]!data[[#This Row],[Product]],[1]!products[Product],[1]!products[Cost per unit])</f>
        <v>6.49</v>
      </c>
      <c r="I293" s="11" t="e">
        <f>[1]!data[[#This Row],[Cost per unit]]*[1]!data[[#This Row],[Units]]</f>
        <v>#REF!</v>
      </c>
    </row>
    <row r="294" spans="3:9" x14ac:dyDescent="0.3">
      <c r="C294" t="s">
        <v>6</v>
      </c>
      <c r="D294" t="s">
        <v>35</v>
      </c>
      <c r="E294" t="s">
        <v>30</v>
      </c>
      <c r="F294" s="4">
        <v>4781</v>
      </c>
      <c r="G294" s="5">
        <v>123</v>
      </c>
      <c r="H294" s="11">
        <f>_xlfn.XLOOKUP([1]!data[[#This Row],[Product]],[1]!products[Product],[1]!products[Cost per unit])</f>
        <v>14.49</v>
      </c>
      <c r="I294" s="11" t="e">
        <f>[1]!data[[#This Row],[Cost per unit]]*[1]!data[[#This Row],[Units]]</f>
        <v>#REF!</v>
      </c>
    </row>
    <row r="295" spans="3:9" x14ac:dyDescent="0.3">
      <c r="C295" t="s">
        <v>5</v>
      </c>
      <c r="D295" t="s">
        <v>38</v>
      </c>
      <c r="E295" t="s">
        <v>25</v>
      </c>
      <c r="F295" s="4">
        <v>7483</v>
      </c>
      <c r="G295" s="5">
        <v>45</v>
      </c>
      <c r="H295" s="11">
        <f>_xlfn.XLOOKUP([1]!data[[#This Row],[Product]],[1]!products[Product],[1]!products[Cost per unit])</f>
        <v>13.15</v>
      </c>
      <c r="I295" s="11" t="e">
        <f>[1]!data[[#This Row],[Cost per unit]]*[1]!data[[#This Row],[Units]]</f>
        <v>#REF!</v>
      </c>
    </row>
    <row r="296" spans="3:9" x14ac:dyDescent="0.3">
      <c r="C296" t="s">
        <v>10</v>
      </c>
      <c r="D296" t="s">
        <v>38</v>
      </c>
      <c r="E296" t="s">
        <v>4</v>
      </c>
      <c r="F296" s="4">
        <v>6860</v>
      </c>
      <c r="G296" s="5">
        <v>126</v>
      </c>
      <c r="H296" s="11">
        <f>_xlfn.XLOOKUP([1]!data[[#This Row],[Product]],[1]!products[Product],[1]!products[Cost per unit])</f>
        <v>11.88</v>
      </c>
      <c r="I296" s="11" t="e">
        <f>[1]!data[[#This Row],[Cost per unit]]*[1]!data[[#This Row],[Units]]</f>
        <v>#REF!</v>
      </c>
    </row>
    <row r="297" spans="3:9" x14ac:dyDescent="0.3">
      <c r="C297" t="s">
        <v>40</v>
      </c>
      <c r="D297" t="s">
        <v>37</v>
      </c>
      <c r="E297" t="s">
        <v>29</v>
      </c>
      <c r="F297" s="4">
        <v>9002</v>
      </c>
      <c r="G297" s="5">
        <v>72</v>
      </c>
      <c r="H297" s="11">
        <f>_xlfn.XLOOKUP([1]!data[[#This Row],[Product]],[1]!products[Product],[1]!products[Cost per unit])</f>
        <v>7.16</v>
      </c>
      <c r="I297" s="11" t="e">
        <f>[1]!data[[#This Row],[Cost per unit]]*[1]!data[[#This Row],[Units]]</f>
        <v>#REF!</v>
      </c>
    </row>
    <row r="298" spans="3:9" x14ac:dyDescent="0.3">
      <c r="C298" t="s">
        <v>6</v>
      </c>
      <c r="D298" t="s">
        <v>36</v>
      </c>
      <c r="E298" t="s">
        <v>29</v>
      </c>
      <c r="F298" s="4">
        <v>1400</v>
      </c>
      <c r="G298" s="5">
        <v>135</v>
      </c>
      <c r="H298" s="11">
        <f>_xlfn.XLOOKUP([1]!data[[#This Row],[Product]],[1]!products[Product],[1]!products[Cost per unit])</f>
        <v>7.16</v>
      </c>
      <c r="I298" s="11" t="e">
        <f>[1]!data[[#This Row],[Cost per unit]]*[1]!data[[#This Row],[Units]]</f>
        <v>#REF!</v>
      </c>
    </row>
    <row r="299" spans="3:9" x14ac:dyDescent="0.3">
      <c r="C299" t="s">
        <v>10</v>
      </c>
      <c r="D299" t="s">
        <v>34</v>
      </c>
      <c r="E299" t="s">
        <v>22</v>
      </c>
      <c r="F299" s="4">
        <v>4053</v>
      </c>
      <c r="G299" s="5">
        <v>24</v>
      </c>
      <c r="H299" s="11">
        <f>_xlfn.XLOOKUP([1]!data[[#This Row],[Product]],[1]!products[Product],[1]!products[Cost per unit])</f>
        <v>9.77</v>
      </c>
      <c r="I299" s="11" t="e">
        <f>[1]!data[[#This Row],[Cost per unit]]*[1]!data[[#This Row],[Units]]</f>
        <v>#REF!</v>
      </c>
    </row>
    <row r="300" spans="3:9" x14ac:dyDescent="0.3">
      <c r="C300" t="s">
        <v>7</v>
      </c>
      <c r="D300" t="s">
        <v>36</v>
      </c>
      <c r="E300" t="s">
        <v>31</v>
      </c>
      <c r="F300" s="4">
        <v>2149</v>
      </c>
      <c r="G300" s="5">
        <v>117</v>
      </c>
      <c r="H300" s="11">
        <f>_xlfn.XLOOKUP([1]!data[[#This Row],[Product]],[1]!products[Product],[1]!products[Cost per unit])</f>
        <v>5.79</v>
      </c>
      <c r="I300" s="11" t="e">
        <f>[1]!data[[#This Row],[Cost per unit]]*[1]!data[[#This Row],[Units]]</f>
        <v>#REF!</v>
      </c>
    </row>
    <row r="301" spans="3:9" x14ac:dyDescent="0.3">
      <c r="C301" t="s">
        <v>3</v>
      </c>
      <c r="D301" t="s">
        <v>39</v>
      </c>
      <c r="E301" t="s">
        <v>29</v>
      </c>
      <c r="F301" s="4">
        <v>3640</v>
      </c>
      <c r="G301" s="5">
        <v>51</v>
      </c>
      <c r="H301" s="11">
        <f>_xlfn.XLOOKUP([1]!data[[#This Row],[Product]],[1]!products[Product],[1]!products[Cost per unit])</f>
        <v>7.16</v>
      </c>
      <c r="I301" s="11" t="e">
        <f>[1]!data[[#This Row],[Cost per unit]]*[1]!data[[#This Row],[Units]]</f>
        <v>#REF!</v>
      </c>
    </row>
    <row r="302" spans="3:9" x14ac:dyDescent="0.3">
      <c r="C302" t="s">
        <v>2</v>
      </c>
      <c r="D302" t="s">
        <v>39</v>
      </c>
      <c r="E302" t="s">
        <v>23</v>
      </c>
      <c r="F302" s="4">
        <v>630</v>
      </c>
      <c r="G302" s="5">
        <v>36</v>
      </c>
      <c r="H302" s="11">
        <f>_xlfn.XLOOKUP([1]!data[[#This Row],[Product]],[1]!products[Product],[1]!products[Cost per unit])</f>
        <v>6.49</v>
      </c>
      <c r="I302" s="11" t="e">
        <f>[1]!data[[#This Row],[Cost per unit]]*[1]!data[[#This Row],[Units]]</f>
        <v>#REF!</v>
      </c>
    </row>
    <row r="303" spans="3:9" x14ac:dyDescent="0.3">
      <c r="C303" t="s">
        <v>9</v>
      </c>
      <c r="D303" t="s">
        <v>35</v>
      </c>
      <c r="E303" t="s">
        <v>27</v>
      </c>
      <c r="F303" s="4">
        <v>2429</v>
      </c>
      <c r="G303" s="5">
        <v>144</v>
      </c>
      <c r="H303" s="11">
        <f>_xlfn.XLOOKUP([1]!data[[#This Row],[Product]],[1]!products[Product],[1]!products[Cost per unit])</f>
        <v>16.73</v>
      </c>
      <c r="I303" s="11" t="e">
        <f>[1]!data[[#This Row],[Cost per unit]]*[1]!data[[#This Row],[Units]]</f>
        <v>#REF!</v>
      </c>
    </row>
    <row r="304" spans="3:9" x14ac:dyDescent="0.3">
      <c r="C304" t="s">
        <v>9</v>
      </c>
      <c r="D304" t="s">
        <v>36</v>
      </c>
      <c r="E304" t="s">
        <v>25</v>
      </c>
      <c r="F304" s="4">
        <v>2142</v>
      </c>
      <c r="G304" s="5">
        <v>114</v>
      </c>
      <c r="H304" s="11">
        <f>_xlfn.XLOOKUP([1]!data[[#This Row],[Product]],[1]!products[Product],[1]!products[Cost per unit])</f>
        <v>13.15</v>
      </c>
      <c r="I304" s="11" t="e">
        <f>[1]!data[[#This Row],[Cost per unit]]*[1]!data[[#This Row],[Units]]</f>
        <v>#REF!</v>
      </c>
    </row>
    <row r="305" spans="3:9" x14ac:dyDescent="0.3">
      <c r="C305" t="s">
        <v>7</v>
      </c>
      <c r="D305" t="s">
        <v>37</v>
      </c>
      <c r="E305" t="s">
        <v>30</v>
      </c>
      <c r="F305" s="4">
        <v>6454</v>
      </c>
      <c r="G305" s="5">
        <v>54</v>
      </c>
      <c r="H305" s="11">
        <f>_xlfn.XLOOKUP([1]!data[[#This Row],[Product]],[1]!products[Product],[1]!products[Cost per unit])</f>
        <v>14.49</v>
      </c>
      <c r="I305" s="11" t="e">
        <f>[1]!data[[#This Row],[Cost per unit]]*[1]!data[[#This Row],[Units]]</f>
        <v>#REF!</v>
      </c>
    </row>
    <row r="306" spans="3:9" x14ac:dyDescent="0.3">
      <c r="C306" t="s">
        <v>7</v>
      </c>
      <c r="D306" t="s">
        <v>37</v>
      </c>
      <c r="E306" t="s">
        <v>16</v>
      </c>
      <c r="F306" s="4">
        <v>4487</v>
      </c>
      <c r="G306" s="5">
        <v>333</v>
      </c>
      <c r="H306" s="11">
        <f>_xlfn.XLOOKUP([1]!data[[#This Row],[Product]],[1]!products[Product],[1]!products[Cost per unit])</f>
        <v>8.7899999999999991</v>
      </c>
      <c r="I306" s="11" t="e">
        <f>[1]!data[[#This Row],[Cost per unit]]*[1]!data[[#This Row],[Units]]</f>
        <v>#REF!</v>
      </c>
    </row>
    <row r="307" spans="3:9" x14ac:dyDescent="0.3">
      <c r="C307" t="s">
        <v>3</v>
      </c>
      <c r="D307" t="s">
        <v>37</v>
      </c>
      <c r="E307" t="s">
        <v>4</v>
      </c>
      <c r="F307" s="4">
        <v>938</v>
      </c>
      <c r="G307" s="5">
        <v>366</v>
      </c>
      <c r="H307" s="11">
        <f>_xlfn.XLOOKUP([1]!data[[#This Row],[Product]],[1]!products[Product],[1]!products[Cost per unit])</f>
        <v>11.88</v>
      </c>
      <c r="I307" s="11" t="e">
        <f>[1]!data[[#This Row],[Cost per unit]]*[1]!data[[#This Row],[Units]]</f>
        <v>#REF!</v>
      </c>
    </row>
    <row r="308" spans="3:9" x14ac:dyDescent="0.3">
      <c r="C308" t="s">
        <v>3</v>
      </c>
      <c r="D308" t="s">
        <v>38</v>
      </c>
      <c r="E308" t="s">
        <v>26</v>
      </c>
      <c r="F308" s="4">
        <v>8841</v>
      </c>
      <c r="G308" s="5">
        <v>303</v>
      </c>
      <c r="H308" s="11">
        <f>_xlfn.XLOOKUP([1]!data[[#This Row],[Product]],[1]!products[Product],[1]!products[Cost per unit])</f>
        <v>5.6</v>
      </c>
      <c r="I308" s="11" t="e">
        <f>[1]!data[[#This Row],[Cost per unit]]*[1]!data[[#This Row],[Units]]</f>
        <v>#REF!</v>
      </c>
    </row>
    <row r="309" spans="3:9" x14ac:dyDescent="0.3">
      <c r="C309" t="s">
        <v>2</v>
      </c>
      <c r="D309" t="s">
        <v>39</v>
      </c>
      <c r="E309" t="s">
        <v>33</v>
      </c>
      <c r="F309" s="4">
        <v>4018</v>
      </c>
      <c r="G309" s="5">
        <v>126</v>
      </c>
      <c r="H309" s="11">
        <f>_xlfn.XLOOKUP([1]!data[[#This Row],[Product]],[1]!products[Product],[1]!products[Cost per unit])</f>
        <v>12.37</v>
      </c>
      <c r="I309" s="11" t="e">
        <f>[1]!data[[#This Row],[Cost per unit]]*[1]!data[[#This Row],[Units]]</f>
        <v>#REF!</v>
      </c>
    </row>
    <row r="310" spans="3:9" x14ac:dyDescent="0.3">
      <c r="C310" t="s">
        <v>41</v>
      </c>
      <c r="D310" t="s">
        <v>37</v>
      </c>
      <c r="E310" t="s">
        <v>15</v>
      </c>
      <c r="F310" s="4">
        <v>714</v>
      </c>
      <c r="G310" s="5">
        <v>231</v>
      </c>
      <c r="H310" s="11">
        <f>_xlfn.XLOOKUP([1]!data[[#This Row],[Product]],[1]!products[Product],[1]!products[Cost per unit])</f>
        <v>11.73</v>
      </c>
      <c r="I310" s="11" t="e">
        <f>[1]!data[[#This Row],[Cost per unit]]*[1]!data[[#This Row],[Units]]</f>
        <v>#REF!</v>
      </c>
    </row>
    <row r="311" spans="3:9" x14ac:dyDescent="0.3">
      <c r="C311" t="s">
        <v>9</v>
      </c>
      <c r="D311" t="s">
        <v>38</v>
      </c>
      <c r="E311" t="s">
        <v>25</v>
      </c>
      <c r="F311" s="4">
        <v>3850</v>
      </c>
      <c r="G311" s="5">
        <v>102</v>
      </c>
      <c r="H311" s="11">
        <f>_xlfn.XLOOKUP([1]!data[[#This Row],[Product]],[1]!products[Product],[1]!products[Cost per unit])</f>
        <v>13.15</v>
      </c>
      <c r="I311" s="11" t="e">
        <f>[1]!data[[#This Row],[Cost per unit]]*[1]!data[[#This Row],[Units]]</f>
        <v>#REF!</v>
      </c>
    </row>
    <row r="312" spans="3:9" x14ac:dyDescent="0.3">
      <c r="F312" s="4"/>
      <c r="G312" s="5"/>
    </row>
    <row r="313" spans="3:9" x14ac:dyDescent="0.3">
      <c r="F313" s="4"/>
      <c r="G313" s="5"/>
    </row>
    <row r="314" spans="3:9" x14ac:dyDescent="0.3">
      <c r="F314" s="4"/>
      <c r="G314" s="5"/>
    </row>
    <row r="315" spans="3:9" x14ac:dyDescent="0.3">
      <c r="F315" s="4"/>
      <c r="G315" s="5"/>
    </row>
    <row r="316" spans="3:9" x14ac:dyDescent="0.3">
      <c r="F316" s="4"/>
      <c r="G316" s="5"/>
    </row>
    <row r="317" spans="3:9" x14ac:dyDescent="0.3">
      <c r="F317" s="4"/>
      <c r="G317" s="5"/>
    </row>
    <row r="318" spans="3:9" x14ac:dyDescent="0.3">
      <c r="F318" s="4"/>
      <c r="G318" s="5"/>
    </row>
    <row r="319" spans="3:9" x14ac:dyDescent="0.3">
      <c r="F319" s="4"/>
      <c r="G319" s="5"/>
    </row>
    <row r="320" spans="3:9" x14ac:dyDescent="0.3">
      <c r="F320" s="4"/>
      <c r="G320" s="5"/>
    </row>
    <row r="321" spans="6:7" x14ac:dyDescent="0.3">
      <c r="F321" s="4"/>
      <c r="G321" s="5"/>
    </row>
    <row r="322" spans="6:7" x14ac:dyDescent="0.3">
      <c r="F322" s="4"/>
      <c r="G322" s="5"/>
    </row>
    <row r="323" spans="6:7" x14ac:dyDescent="0.3">
      <c r="F323" s="4"/>
      <c r="G323" s="5"/>
    </row>
    <row r="324" spans="6:7" x14ac:dyDescent="0.3">
      <c r="F324" s="4"/>
      <c r="G324" s="5"/>
    </row>
    <row r="325" spans="6:7" x14ac:dyDescent="0.3">
      <c r="F325" s="4"/>
      <c r="G325" s="5"/>
    </row>
    <row r="326" spans="6:7" x14ac:dyDescent="0.3">
      <c r="F326" s="4"/>
      <c r="G326" s="5"/>
    </row>
    <row r="327" spans="6:7" x14ac:dyDescent="0.3">
      <c r="F327" s="4"/>
      <c r="G327" s="5"/>
    </row>
    <row r="328" spans="6:7" x14ac:dyDescent="0.3">
      <c r="F328" s="4"/>
      <c r="G328" s="5"/>
    </row>
    <row r="329" spans="6:7" x14ac:dyDescent="0.3">
      <c r="F329" s="4"/>
      <c r="G329" s="5"/>
    </row>
    <row r="330" spans="6:7" x14ac:dyDescent="0.3">
      <c r="F330" s="4"/>
      <c r="G330" s="5"/>
    </row>
    <row r="331" spans="6:7" x14ac:dyDescent="0.3">
      <c r="F331" s="4"/>
      <c r="G331" s="5"/>
    </row>
    <row r="332" spans="6:7" x14ac:dyDescent="0.3">
      <c r="F332" s="4"/>
      <c r="G332" s="5"/>
    </row>
    <row r="333" spans="6:7" x14ac:dyDescent="0.3">
      <c r="F333" s="4"/>
      <c r="G333" s="5"/>
    </row>
    <row r="334" spans="6:7" x14ac:dyDescent="0.3">
      <c r="F334" s="4"/>
      <c r="G334" s="5"/>
    </row>
    <row r="335" spans="6:7" x14ac:dyDescent="0.3">
      <c r="F335" s="4"/>
      <c r="G335" s="5"/>
    </row>
    <row r="336" spans="6:7" x14ac:dyDescent="0.3">
      <c r="F336" s="4"/>
      <c r="G336" s="5"/>
    </row>
    <row r="337" spans="6:7" x14ac:dyDescent="0.3">
      <c r="F337" s="4"/>
      <c r="G337" s="5"/>
    </row>
    <row r="338" spans="6:7" x14ac:dyDescent="0.3">
      <c r="F338" s="4"/>
      <c r="G338" s="5"/>
    </row>
    <row r="339" spans="6:7" x14ac:dyDescent="0.3">
      <c r="F339" s="4"/>
      <c r="G339" s="5"/>
    </row>
    <row r="340" spans="6:7" x14ac:dyDescent="0.3">
      <c r="F340" s="4"/>
      <c r="G340" s="5"/>
    </row>
    <row r="341" spans="6:7" x14ac:dyDescent="0.3">
      <c r="F341" s="4"/>
      <c r="G341" s="5"/>
    </row>
    <row r="342" spans="6:7" x14ac:dyDescent="0.3">
      <c r="F342" s="4"/>
      <c r="G342" s="5"/>
    </row>
    <row r="343" spans="6:7" x14ac:dyDescent="0.3">
      <c r="F343" s="4"/>
      <c r="G343" s="5"/>
    </row>
    <row r="344" spans="6:7" x14ac:dyDescent="0.3">
      <c r="F344" s="4"/>
      <c r="G344" s="5"/>
    </row>
    <row r="345" spans="6:7" x14ac:dyDescent="0.3">
      <c r="F345" s="4"/>
      <c r="G345" s="5"/>
    </row>
    <row r="346" spans="6:7" x14ac:dyDescent="0.3">
      <c r="F346" s="4"/>
      <c r="G346" s="5"/>
    </row>
    <row r="347" spans="6:7" x14ac:dyDescent="0.3">
      <c r="F347" s="4"/>
      <c r="G347" s="5"/>
    </row>
    <row r="348" spans="6:7" x14ac:dyDescent="0.3">
      <c r="F348" s="4"/>
      <c r="G348" s="5"/>
    </row>
    <row r="349" spans="6:7" x14ac:dyDescent="0.3">
      <c r="F349" s="4"/>
      <c r="G349" s="5"/>
    </row>
    <row r="350" spans="6:7" x14ac:dyDescent="0.3">
      <c r="F350" s="4"/>
      <c r="G350" s="5"/>
    </row>
    <row r="351" spans="6:7" x14ac:dyDescent="0.3">
      <c r="F351" s="4"/>
      <c r="G351" s="5"/>
    </row>
    <row r="352" spans="6:7" x14ac:dyDescent="0.3">
      <c r="F352" s="4"/>
      <c r="G352" s="5"/>
    </row>
    <row r="353" spans="6:7" x14ac:dyDescent="0.3">
      <c r="F353" s="4"/>
      <c r="G353" s="5"/>
    </row>
    <row r="354" spans="6:7" x14ac:dyDescent="0.3">
      <c r="F354" s="4"/>
      <c r="G354" s="5"/>
    </row>
    <row r="355" spans="6:7" x14ac:dyDescent="0.3">
      <c r="F355" s="4"/>
      <c r="G355" s="5"/>
    </row>
    <row r="356" spans="6:7" x14ac:dyDescent="0.3">
      <c r="F356" s="4"/>
      <c r="G356" s="5"/>
    </row>
    <row r="357" spans="6:7" x14ac:dyDescent="0.3">
      <c r="F357" s="4"/>
      <c r="G357" s="5"/>
    </row>
    <row r="358" spans="6:7" x14ac:dyDescent="0.3">
      <c r="F358" s="4"/>
      <c r="G358" s="5"/>
    </row>
    <row r="359" spans="6:7" x14ac:dyDescent="0.3">
      <c r="F359" s="4"/>
      <c r="G359" s="5"/>
    </row>
    <row r="360" spans="6:7" x14ac:dyDescent="0.3">
      <c r="F360" s="4"/>
      <c r="G360" s="5"/>
    </row>
    <row r="361" spans="6:7" x14ac:dyDescent="0.3">
      <c r="F361" s="4"/>
      <c r="G361" s="5"/>
    </row>
    <row r="362" spans="6:7" x14ac:dyDescent="0.3">
      <c r="F362" s="4"/>
      <c r="G362" s="5"/>
    </row>
    <row r="363" spans="6:7" x14ac:dyDescent="0.3">
      <c r="F363" s="4"/>
      <c r="G363" s="5"/>
    </row>
    <row r="364" spans="6:7" x14ac:dyDescent="0.3">
      <c r="F364" s="4"/>
      <c r="G364" s="5"/>
    </row>
    <row r="365" spans="6:7" x14ac:dyDescent="0.3">
      <c r="F365" s="4"/>
      <c r="G365" s="5"/>
    </row>
    <row r="366" spans="6:7" x14ac:dyDescent="0.3">
      <c r="F366" s="4"/>
      <c r="G366" s="5"/>
    </row>
    <row r="367" spans="6:7" x14ac:dyDescent="0.3">
      <c r="F367" s="4"/>
      <c r="G367" s="5"/>
    </row>
    <row r="368" spans="6:7" x14ac:dyDescent="0.3">
      <c r="F368" s="4"/>
      <c r="G368" s="5"/>
    </row>
    <row r="369" spans="6:7" x14ac:dyDescent="0.3">
      <c r="F369" s="4"/>
      <c r="G369" s="5"/>
    </row>
    <row r="370" spans="6:7" x14ac:dyDescent="0.3">
      <c r="F370" s="4"/>
      <c r="G370" s="5"/>
    </row>
    <row r="371" spans="6:7" x14ac:dyDescent="0.3">
      <c r="F371" s="4"/>
      <c r="G371" s="5"/>
    </row>
    <row r="372" spans="6:7" x14ac:dyDescent="0.3">
      <c r="F372" s="4"/>
      <c r="G372" s="5"/>
    </row>
    <row r="373" spans="6:7" x14ac:dyDescent="0.3">
      <c r="F373" s="4"/>
      <c r="G373" s="5"/>
    </row>
    <row r="374" spans="6:7" x14ac:dyDescent="0.3">
      <c r="F374" s="4"/>
      <c r="G374" s="5"/>
    </row>
    <row r="375" spans="6:7" x14ac:dyDescent="0.3">
      <c r="F375" s="4"/>
      <c r="G375" s="5"/>
    </row>
    <row r="376" spans="6:7" x14ac:dyDescent="0.3">
      <c r="F376" s="4"/>
      <c r="G376" s="5"/>
    </row>
    <row r="377" spans="6:7" x14ac:dyDescent="0.3">
      <c r="F377" s="4"/>
      <c r="G377" s="5"/>
    </row>
    <row r="378" spans="6:7" x14ac:dyDescent="0.3">
      <c r="F378" s="4"/>
      <c r="G378" s="5"/>
    </row>
    <row r="379" spans="6:7" x14ac:dyDescent="0.3">
      <c r="F379" s="4"/>
      <c r="G379" s="5"/>
    </row>
    <row r="380" spans="6:7" x14ac:dyDescent="0.3">
      <c r="F380" s="4"/>
      <c r="G380" s="5"/>
    </row>
    <row r="381" spans="6:7" x14ac:dyDescent="0.3">
      <c r="F381" s="4"/>
      <c r="G381" s="5"/>
    </row>
    <row r="382" spans="6:7" x14ac:dyDescent="0.3">
      <c r="F382" s="4"/>
      <c r="G382" s="5"/>
    </row>
    <row r="383" spans="6:7" x14ac:dyDescent="0.3">
      <c r="F383" s="4"/>
      <c r="G383" s="5"/>
    </row>
    <row r="384" spans="6:7" x14ac:dyDescent="0.3">
      <c r="F384" s="4"/>
      <c r="G384" s="5"/>
    </row>
    <row r="385" spans="6:7" x14ac:dyDescent="0.3">
      <c r="F385" s="4"/>
      <c r="G385" s="5"/>
    </row>
    <row r="386" spans="6:7" x14ac:dyDescent="0.3">
      <c r="F386" s="4"/>
      <c r="G386" s="5"/>
    </row>
    <row r="387" spans="6:7" x14ac:dyDescent="0.3">
      <c r="F387" s="4"/>
      <c r="G387" s="5"/>
    </row>
    <row r="388" spans="6:7" x14ac:dyDescent="0.3">
      <c r="F388" s="4"/>
      <c r="G388" s="5"/>
    </row>
    <row r="389" spans="6:7" x14ac:dyDescent="0.3">
      <c r="F389" s="4"/>
      <c r="G389" s="5"/>
    </row>
    <row r="390" spans="6:7" x14ac:dyDescent="0.3">
      <c r="F390" s="4"/>
      <c r="G390" s="5"/>
    </row>
    <row r="391" spans="6:7" x14ac:dyDescent="0.3">
      <c r="F391" s="4"/>
      <c r="G391" s="5"/>
    </row>
    <row r="392" spans="6:7" x14ac:dyDescent="0.3">
      <c r="F392" s="4"/>
      <c r="G392" s="5"/>
    </row>
    <row r="393" spans="6:7" x14ac:dyDescent="0.3">
      <c r="F393" s="4"/>
      <c r="G393" s="5"/>
    </row>
    <row r="394" spans="6:7" x14ac:dyDescent="0.3">
      <c r="F394" s="4"/>
      <c r="G394" s="5"/>
    </row>
    <row r="395" spans="6:7" x14ac:dyDescent="0.3">
      <c r="F395" s="4"/>
      <c r="G395" s="5"/>
    </row>
    <row r="396" spans="6:7" x14ac:dyDescent="0.3">
      <c r="F396" s="4"/>
      <c r="G396" s="5"/>
    </row>
    <row r="397" spans="6:7" x14ac:dyDescent="0.3">
      <c r="F397" s="4"/>
      <c r="G397" s="5"/>
    </row>
    <row r="398" spans="6:7" x14ac:dyDescent="0.3">
      <c r="F398" s="4"/>
      <c r="G398" s="5"/>
    </row>
    <row r="399" spans="6:7" x14ac:dyDescent="0.3">
      <c r="F399" s="4"/>
      <c r="G399" s="5"/>
    </row>
    <row r="400" spans="6:7" x14ac:dyDescent="0.3">
      <c r="F400" s="4"/>
      <c r="G400" s="5"/>
    </row>
    <row r="401" spans="6:7" x14ac:dyDescent="0.3">
      <c r="F401" s="4"/>
      <c r="G401" s="5"/>
    </row>
    <row r="402" spans="6:7" x14ac:dyDescent="0.3">
      <c r="F402" s="4"/>
      <c r="G402" s="5"/>
    </row>
    <row r="403" spans="6:7" x14ac:dyDescent="0.3">
      <c r="F403" s="4"/>
      <c r="G403" s="5"/>
    </row>
    <row r="404" spans="6:7" x14ac:dyDescent="0.3">
      <c r="F404" s="4"/>
      <c r="G404" s="5"/>
    </row>
    <row r="405" spans="6:7" x14ac:dyDescent="0.3">
      <c r="F405" s="4"/>
      <c r="G405" s="5"/>
    </row>
    <row r="406" spans="6:7" x14ac:dyDescent="0.3">
      <c r="F406" s="4"/>
      <c r="G406" s="5"/>
    </row>
    <row r="407" spans="6:7" x14ac:dyDescent="0.3">
      <c r="F407" s="4"/>
      <c r="G407" s="5"/>
    </row>
    <row r="408" spans="6:7" x14ac:dyDescent="0.3">
      <c r="F408" s="4"/>
      <c r="G408" s="5"/>
    </row>
    <row r="409" spans="6:7" x14ac:dyDescent="0.3">
      <c r="F409" s="4"/>
      <c r="G409" s="5"/>
    </row>
    <row r="410" spans="6:7" x14ac:dyDescent="0.3">
      <c r="F410" s="4"/>
      <c r="G410" s="5"/>
    </row>
    <row r="411" spans="6:7" x14ac:dyDescent="0.3">
      <c r="F411" s="4"/>
      <c r="G411" s="5"/>
    </row>
    <row r="412" spans="6:7" x14ac:dyDescent="0.3">
      <c r="F412" s="4"/>
      <c r="G412" s="5"/>
    </row>
    <row r="413" spans="6:7" x14ac:dyDescent="0.3">
      <c r="F413" s="4"/>
      <c r="G413" s="5"/>
    </row>
    <row r="414" spans="6:7" x14ac:dyDescent="0.3">
      <c r="F414" s="4"/>
      <c r="G414" s="5"/>
    </row>
    <row r="415" spans="6:7" x14ac:dyDescent="0.3">
      <c r="F415" s="4"/>
      <c r="G415" s="5"/>
    </row>
    <row r="416" spans="6:7" x14ac:dyDescent="0.3">
      <c r="F416" s="4"/>
      <c r="G416" s="5"/>
    </row>
    <row r="417" spans="6:7" x14ac:dyDescent="0.3">
      <c r="F417" s="4"/>
      <c r="G417" s="5"/>
    </row>
    <row r="418" spans="6:7" x14ac:dyDescent="0.3">
      <c r="F418" s="4"/>
      <c r="G418" s="5"/>
    </row>
    <row r="419" spans="6:7" x14ac:dyDescent="0.3">
      <c r="F419" s="4"/>
      <c r="G419" s="5"/>
    </row>
    <row r="420" spans="6:7" x14ac:dyDescent="0.3">
      <c r="F420" s="4"/>
      <c r="G420" s="5"/>
    </row>
    <row r="421" spans="6:7" x14ac:dyDescent="0.3">
      <c r="F421" s="4"/>
      <c r="G421" s="5"/>
    </row>
    <row r="422" spans="6:7" x14ac:dyDescent="0.3">
      <c r="F422" s="4"/>
      <c r="G422" s="5"/>
    </row>
    <row r="423" spans="6:7" x14ac:dyDescent="0.3">
      <c r="F423" s="4"/>
      <c r="G423" s="5"/>
    </row>
    <row r="424" spans="6:7" x14ac:dyDescent="0.3">
      <c r="F424" s="4"/>
      <c r="G424" s="5"/>
    </row>
    <row r="425" spans="6:7" x14ac:dyDescent="0.3">
      <c r="F425" s="4"/>
      <c r="G425" s="5"/>
    </row>
    <row r="426" spans="6:7" x14ac:dyDescent="0.3">
      <c r="F426" s="4"/>
      <c r="G426" s="5"/>
    </row>
    <row r="427" spans="6:7" x14ac:dyDescent="0.3">
      <c r="F427" s="4"/>
      <c r="G427" s="5"/>
    </row>
    <row r="428" spans="6:7" x14ac:dyDescent="0.3">
      <c r="F428" s="4"/>
      <c r="G428" s="5"/>
    </row>
    <row r="429" spans="6:7" x14ac:dyDescent="0.3">
      <c r="F429" s="4"/>
      <c r="G429" s="5"/>
    </row>
    <row r="430" spans="6:7" x14ac:dyDescent="0.3">
      <c r="F430" s="4"/>
      <c r="G430" s="5"/>
    </row>
    <row r="431" spans="6:7" x14ac:dyDescent="0.3">
      <c r="F431" s="4"/>
      <c r="G431" s="5"/>
    </row>
    <row r="432" spans="6:7" x14ac:dyDescent="0.3">
      <c r="F432" s="4"/>
      <c r="G432" s="5"/>
    </row>
    <row r="433" spans="6:7" x14ac:dyDescent="0.3">
      <c r="F433" s="4"/>
      <c r="G433" s="5"/>
    </row>
    <row r="434" spans="6:7" x14ac:dyDescent="0.3">
      <c r="F434" s="4"/>
      <c r="G434" s="5"/>
    </row>
    <row r="435" spans="6:7" x14ac:dyDescent="0.3">
      <c r="F435" s="4"/>
      <c r="G435" s="5"/>
    </row>
    <row r="436" spans="6:7" x14ac:dyDescent="0.3">
      <c r="F436" s="4"/>
      <c r="G436" s="5"/>
    </row>
    <row r="437" spans="6:7" x14ac:dyDescent="0.3">
      <c r="F437" s="4"/>
      <c r="G437" s="5"/>
    </row>
    <row r="438" spans="6:7" x14ac:dyDescent="0.3">
      <c r="F438" s="4"/>
      <c r="G438" s="5"/>
    </row>
    <row r="439" spans="6:7" x14ac:dyDescent="0.3">
      <c r="F439" s="4"/>
      <c r="G439" s="5"/>
    </row>
    <row r="440" spans="6:7" x14ac:dyDescent="0.3">
      <c r="F440" s="4"/>
      <c r="G440" s="5"/>
    </row>
    <row r="441" spans="6:7" x14ac:dyDescent="0.3">
      <c r="F441" s="4"/>
      <c r="G441" s="5"/>
    </row>
    <row r="442" spans="6:7" x14ac:dyDescent="0.3">
      <c r="F442" s="4"/>
      <c r="G442" s="5"/>
    </row>
    <row r="443" spans="6:7" x14ac:dyDescent="0.3">
      <c r="F443" s="4"/>
      <c r="G443" s="5"/>
    </row>
    <row r="444" spans="6:7" x14ac:dyDescent="0.3">
      <c r="F444" s="4"/>
      <c r="G444" s="5"/>
    </row>
    <row r="445" spans="6:7" x14ac:dyDescent="0.3">
      <c r="F445" s="4"/>
      <c r="G445" s="5"/>
    </row>
    <row r="446" spans="6:7" x14ac:dyDescent="0.3">
      <c r="F446" s="4"/>
      <c r="G446" s="5"/>
    </row>
    <row r="447" spans="6:7" x14ac:dyDescent="0.3">
      <c r="F447" s="4"/>
      <c r="G447" s="5"/>
    </row>
    <row r="448" spans="6:7" x14ac:dyDescent="0.3">
      <c r="F448" s="4"/>
      <c r="G448" s="5"/>
    </row>
    <row r="449" spans="6:7" x14ac:dyDescent="0.3">
      <c r="F449" s="4"/>
      <c r="G449" s="5"/>
    </row>
    <row r="450" spans="6:7" x14ac:dyDescent="0.3">
      <c r="F450" s="4"/>
      <c r="G450" s="5"/>
    </row>
    <row r="451" spans="6:7" x14ac:dyDescent="0.3">
      <c r="F451" s="4"/>
      <c r="G451" s="5"/>
    </row>
    <row r="452" spans="6:7" x14ac:dyDescent="0.3">
      <c r="F452" s="4"/>
      <c r="G452" s="5"/>
    </row>
    <row r="453" spans="6:7" x14ac:dyDescent="0.3">
      <c r="F453" s="4"/>
      <c r="G453" s="5"/>
    </row>
    <row r="454" spans="6:7" x14ac:dyDescent="0.3">
      <c r="F454" s="4"/>
      <c r="G454" s="5"/>
    </row>
    <row r="455" spans="6:7" x14ac:dyDescent="0.3">
      <c r="F455" s="4"/>
      <c r="G455" s="5"/>
    </row>
    <row r="456" spans="6:7" x14ac:dyDescent="0.3">
      <c r="F456" s="4"/>
      <c r="G456" s="5"/>
    </row>
    <row r="457" spans="6:7" x14ac:dyDescent="0.3">
      <c r="F457" s="4"/>
      <c r="G457" s="5"/>
    </row>
    <row r="458" spans="6:7" x14ac:dyDescent="0.3">
      <c r="F458" s="4"/>
      <c r="G458" s="5"/>
    </row>
    <row r="459" spans="6:7" x14ac:dyDescent="0.3">
      <c r="F459" s="4"/>
      <c r="G459" s="5"/>
    </row>
    <row r="460" spans="6:7" x14ac:dyDescent="0.3">
      <c r="F460" s="4"/>
      <c r="G460" s="5"/>
    </row>
    <row r="461" spans="6:7" x14ac:dyDescent="0.3">
      <c r="F461" s="4"/>
      <c r="G461" s="5"/>
    </row>
    <row r="462" spans="6:7" x14ac:dyDescent="0.3">
      <c r="F462" s="4"/>
      <c r="G462" s="5"/>
    </row>
    <row r="463" spans="6:7" x14ac:dyDescent="0.3">
      <c r="F463" s="4"/>
      <c r="G463" s="5"/>
    </row>
    <row r="464" spans="6:7" x14ac:dyDescent="0.3">
      <c r="F464" s="4"/>
      <c r="G464" s="5"/>
    </row>
    <row r="465" spans="6:7" x14ac:dyDescent="0.3">
      <c r="F465" s="4"/>
      <c r="G465" s="5"/>
    </row>
    <row r="466" spans="6:7" x14ac:dyDescent="0.3">
      <c r="F466" s="4"/>
      <c r="G466" s="5"/>
    </row>
    <row r="467" spans="6:7" x14ac:dyDescent="0.3">
      <c r="F467" s="4"/>
      <c r="G467" s="5"/>
    </row>
    <row r="468" spans="6:7" x14ac:dyDescent="0.3">
      <c r="F468" s="4"/>
      <c r="G468" s="5"/>
    </row>
    <row r="469" spans="6:7" x14ac:dyDescent="0.3">
      <c r="F469" s="4"/>
      <c r="G469" s="5"/>
    </row>
    <row r="470" spans="6:7" x14ac:dyDescent="0.3">
      <c r="F470" s="4"/>
      <c r="G470" s="5"/>
    </row>
    <row r="471" spans="6:7" x14ac:dyDescent="0.3">
      <c r="F471" s="4"/>
      <c r="G471" s="5"/>
    </row>
    <row r="472" spans="6:7" x14ac:dyDescent="0.3">
      <c r="F472" s="4"/>
      <c r="G472" s="5"/>
    </row>
    <row r="473" spans="6:7" x14ac:dyDescent="0.3">
      <c r="F473" s="4"/>
      <c r="G473" s="5"/>
    </row>
    <row r="474" spans="6:7" x14ac:dyDescent="0.3">
      <c r="F474" s="4"/>
      <c r="G474" s="5"/>
    </row>
    <row r="475" spans="6:7" x14ac:dyDescent="0.3">
      <c r="F475" s="4"/>
      <c r="G475" s="5"/>
    </row>
    <row r="476" spans="6:7" x14ac:dyDescent="0.3">
      <c r="F476" s="4"/>
      <c r="G476" s="5"/>
    </row>
    <row r="477" spans="6:7" x14ac:dyDescent="0.3">
      <c r="F477" s="4"/>
      <c r="G477" s="5"/>
    </row>
    <row r="478" spans="6:7" x14ac:dyDescent="0.3">
      <c r="F478" s="4"/>
      <c r="G478" s="5"/>
    </row>
    <row r="479" spans="6:7" x14ac:dyDescent="0.3">
      <c r="F479" s="4"/>
      <c r="G479" s="5"/>
    </row>
    <row r="480" spans="6:7" x14ac:dyDescent="0.3">
      <c r="F480" s="4"/>
      <c r="G480" s="5"/>
    </row>
    <row r="481" spans="6:7" x14ac:dyDescent="0.3">
      <c r="F481" s="4"/>
      <c r="G481" s="5"/>
    </row>
    <row r="482" spans="6:7" x14ac:dyDescent="0.3">
      <c r="F482" s="4"/>
      <c r="G482" s="5"/>
    </row>
    <row r="483" spans="6:7" x14ac:dyDescent="0.3">
      <c r="F483" s="4"/>
      <c r="G483" s="5"/>
    </row>
    <row r="484" spans="6:7" x14ac:dyDescent="0.3">
      <c r="F484" s="4"/>
      <c r="G484" s="5"/>
    </row>
    <row r="485" spans="6:7" x14ac:dyDescent="0.3">
      <c r="F485" s="4"/>
      <c r="G485" s="5"/>
    </row>
    <row r="486" spans="6:7" x14ac:dyDescent="0.3">
      <c r="F486" s="4"/>
      <c r="G486" s="5"/>
    </row>
    <row r="487" spans="6:7" x14ac:dyDescent="0.3">
      <c r="F487" s="4"/>
      <c r="G487" s="5"/>
    </row>
    <row r="488" spans="6:7" x14ac:dyDescent="0.3">
      <c r="F488" s="4"/>
      <c r="G488" s="5"/>
    </row>
    <row r="489" spans="6:7" x14ac:dyDescent="0.3">
      <c r="F489" s="4"/>
      <c r="G489" s="5"/>
    </row>
    <row r="490" spans="6:7" x14ac:dyDescent="0.3">
      <c r="F490" s="4"/>
      <c r="G490" s="5"/>
    </row>
    <row r="491" spans="6:7" x14ac:dyDescent="0.3">
      <c r="F491" s="4"/>
      <c r="G491" s="5"/>
    </row>
    <row r="492" spans="6:7" x14ac:dyDescent="0.3">
      <c r="F492" s="4"/>
      <c r="G492" s="5"/>
    </row>
    <row r="493" spans="6:7" x14ac:dyDescent="0.3">
      <c r="F493" s="4"/>
      <c r="G493" s="5"/>
    </row>
    <row r="494" spans="6:7" x14ac:dyDescent="0.3">
      <c r="F494" s="4"/>
      <c r="G494" s="5"/>
    </row>
    <row r="495" spans="6:7" x14ac:dyDescent="0.3">
      <c r="F495" s="4"/>
      <c r="G495" s="5"/>
    </row>
    <row r="496" spans="6:7" x14ac:dyDescent="0.3">
      <c r="F496" s="4"/>
      <c r="G496" s="5"/>
    </row>
    <row r="497" spans="6:7" x14ac:dyDescent="0.3">
      <c r="F497" s="4"/>
      <c r="G497" s="5"/>
    </row>
    <row r="498" spans="6:7" x14ac:dyDescent="0.3">
      <c r="F498" s="4"/>
      <c r="G498" s="5"/>
    </row>
    <row r="499" spans="6:7" x14ac:dyDescent="0.3">
      <c r="F499" s="4"/>
      <c r="G499" s="5"/>
    </row>
    <row r="500" spans="6:7" x14ac:dyDescent="0.3">
      <c r="F500" s="4"/>
      <c r="G500" s="5"/>
    </row>
    <row r="501" spans="6:7" x14ac:dyDescent="0.3">
      <c r="F501" s="4"/>
      <c r="G501" s="5"/>
    </row>
    <row r="502" spans="6:7" x14ac:dyDescent="0.3">
      <c r="F502" s="4"/>
      <c r="G502" s="5"/>
    </row>
    <row r="503" spans="6:7" x14ac:dyDescent="0.3">
      <c r="F503" s="4"/>
      <c r="G503" s="5"/>
    </row>
    <row r="504" spans="6:7" x14ac:dyDescent="0.3">
      <c r="F504" s="4"/>
      <c r="G504" s="5"/>
    </row>
    <row r="505" spans="6:7" x14ac:dyDescent="0.3">
      <c r="F505" s="4"/>
      <c r="G505" s="5"/>
    </row>
    <row r="506" spans="6:7" x14ac:dyDescent="0.3">
      <c r="F506" s="4"/>
      <c r="G506" s="5"/>
    </row>
    <row r="507" spans="6:7" x14ac:dyDescent="0.3">
      <c r="F507" s="4"/>
      <c r="G507" s="5"/>
    </row>
    <row r="508" spans="6:7" x14ac:dyDescent="0.3">
      <c r="F508" s="4"/>
      <c r="G508" s="5"/>
    </row>
    <row r="509" spans="6:7" x14ac:dyDescent="0.3">
      <c r="F509" s="4"/>
      <c r="G509" s="5"/>
    </row>
    <row r="510" spans="6:7" x14ac:dyDescent="0.3">
      <c r="F510" s="4"/>
      <c r="G510" s="5"/>
    </row>
    <row r="511" spans="6:7" x14ac:dyDescent="0.3">
      <c r="F511" s="4"/>
      <c r="G511" s="5"/>
    </row>
    <row r="512" spans="6:7" x14ac:dyDescent="0.3">
      <c r="F512" s="4"/>
      <c r="G512" s="5"/>
    </row>
    <row r="513" spans="6:7" x14ac:dyDescent="0.3">
      <c r="F513" s="4"/>
      <c r="G513" s="5"/>
    </row>
    <row r="514" spans="6:7" x14ac:dyDescent="0.3">
      <c r="F514" s="4"/>
      <c r="G514" s="5"/>
    </row>
    <row r="515" spans="6:7" x14ac:dyDescent="0.3">
      <c r="F515" s="4"/>
      <c r="G515" s="5"/>
    </row>
    <row r="516" spans="6:7" x14ac:dyDescent="0.3">
      <c r="F516" s="4"/>
      <c r="G516" s="5"/>
    </row>
    <row r="517" spans="6:7" x14ac:dyDescent="0.3">
      <c r="F517" s="4"/>
      <c r="G517" s="5"/>
    </row>
    <row r="518" spans="6:7" x14ac:dyDescent="0.3">
      <c r="F518" s="4"/>
      <c r="G518" s="5"/>
    </row>
    <row r="519" spans="6:7" x14ac:dyDescent="0.3">
      <c r="F519" s="4"/>
      <c r="G519" s="5"/>
    </row>
    <row r="520" spans="6:7" x14ac:dyDescent="0.3">
      <c r="F520" s="4"/>
      <c r="G520" s="5"/>
    </row>
    <row r="521" spans="6:7" x14ac:dyDescent="0.3">
      <c r="F521" s="4"/>
      <c r="G521" s="5"/>
    </row>
    <row r="522" spans="6:7" x14ac:dyDescent="0.3">
      <c r="F522" s="4"/>
      <c r="G522" s="5"/>
    </row>
    <row r="523" spans="6:7" x14ac:dyDescent="0.3">
      <c r="F523" s="4"/>
      <c r="G523" s="5"/>
    </row>
    <row r="524" spans="6:7" x14ac:dyDescent="0.3">
      <c r="F524" s="4"/>
      <c r="G524" s="5"/>
    </row>
    <row r="525" spans="6:7" x14ac:dyDescent="0.3">
      <c r="F525" s="4"/>
      <c r="G525" s="5"/>
    </row>
    <row r="526" spans="6:7" x14ac:dyDescent="0.3">
      <c r="F526" s="4"/>
      <c r="G526" s="5"/>
    </row>
    <row r="527" spans="6:7" x14ac:dyDescent="0.3">
      <c r="F527" s="4"/>
      <c r="G527" s="5"/>
    </row>
    <row r="528" spans="6:7" x14ac:dyDescent="0.3">
      <c r="F528" s="4"/>
      <c r="G528" s="5"/>
    </row>
    <row r="529" spans="6:7" x14ac:dyDescent="0.3">
      <c r="F529" s="4"/>
      <c r="G529" s="5"/>
    </row>
    <row r="530" spans="6:7" x14ac:dyDescent="0.3">
      <c r="F530" s="4"/>
      <c r="G530" s="5"/>
    </row>
    <row r="531" spans="6:7" x14ac:dyDescent="0.3">
      <c r="F531" s="4"/>
      <c r="G531" s="5"/>
    </row>
    <row r="532" spans="6:7" x14ac:dyDescent="0.3">
      <c r="F532" s="4"/>
      <c r="G532" s="5"/>
    </row>
    <row r="533" spans="6:7" x14ac:dyDescent="0.3">
      <c r="F533" s="4"/>
      <c r="G533" s="5"/>
    </row>
    <row r="534" spans="6:7" x14ac:dyDescent="0.3">
      <c r="F534" s="4"/>
      <c r="G534" s="5"/>
    </row>
    <row r="535" spans="6:7" x14ac:dyDescent="0.3">
      <c r="F535" s="4"/>
      <c r="G535" s="5"/>
    </row>
    <row r="536" spans="6:7" x14ac:dyDescent="0.3">
      <c r="F536" s="4"/>
      <c r="G536" s="5"/>
    </row>
    <row r="537" spans="6:7" x14ac:dyDescent="0.3">
      <c r="F537" s="4"/>
      <c r="G537" s="5"/>
    </row>
    <row r="538" spans="6:7" x14ac:dyDescent="0.3">
      <c r="F538" s="4"/>
      <c r="G538" s="5"/>
    </row>
    <row r="539" spans="6:7" x14ac:dyDescent="0.3">
      <c r="F539" s="4"/>
      <c r="G539" s="5"/>
    </row>
    <row r="540" spans="6:7" x14ac:dyDescent="0.3">
      <c r="F540" s="4"/>
      <c r="G540" s="5"/>
    </row>
    <row r="541" spans="6:7" x14ac:dyDescent="0.3">
      <c r="F541" s="4"/>
      <c r="G541" s="5"/>
    </row>
    <row r="542" spans="6:7" x14ac:dyDescent="0.3">
      <c r="F542" s="4"/>
      <c r="G542" s="5"/>
    </row>
    <row r="543" spans="6:7" x14ac:dyDescent="0.3">
      <c r="F543" s="4"/>
      <c r="G543" s="5"/>
    </row>
    <row r="544" spans="6:7" x14ac:dyDescent="0.3">
      <c r="F544" s="4"/>
      <c r="G544" s="5"/>
    </row>
    <row r="545" spans="6:7" x14ac:dyDescent="0.3">
      <c r="F545" s="4"/>
      <c r="G545" s="5"/>
    </row>
    <row r="546" spans="6:7" x14ac:dyDescent="0.3">
      <c r="F546" s="4"/>
      <c r="G546" s="5"/>
    </row>
    <row r="547" spans="6:7" x14ac:dyDescent="0.3">
      <c r="F547" s="4"/>
      <c r="G547" s="5"/>
    </row>
    <row r="548" spans="6:7" x14ac:dyDescent="0.3">
      <c r="F548" s="4"/>
      <c r="G548" s="5"/>
    </row>
    <row r="549" spans="6:7" x14ac:dyDescent="0.3">
      <c r="F549" s="4"/>
      <c r="G549" s="5"/>
    </row>
    <row r="550" spans="6:7" x14ac:dyDescent="0.3">
      <c r="F550" s="4"/>
      <c r="G550" s="5"/>
    </row>
    <row r="551" spans="6:7" x14ac:dyDescent="0.3">
      <c r="F551" s="4"/>
      <c r="G551" s="5"/>
    </row>
    <row r="552" spans="6:7" x14ac:dyDescent="0.3">
      <c r="F552" s="4"/>
      <c r="G552" s="5"/>
    </row>
    <row r="553" spans="6:7" x14ac:dyDescent="0.3">
      <c r="F553" s="4"/>
      <c r="G553" s="5"/>
    </row>
    <row r="554" spans="6:7" x14ac:dyDescent="0.3">
      <c r="F554" s="4"/>
      <c r="G554" s="5"/>
    </row>
    <row r="555" spans="6:7" x14ac:dyDescent="0.3">
      <c r="F555" s="4"/>
      <c r="G555" s="5"/>
    </row>
    <row r="556" spans="6:7" x14ac:dyDescent="0.3">
      <c r="F556" s="4"/>
      <c r="G556" s="5"/>
    </row>
    <row r="557" spans="6:7" x14ac:dyDescent="0.3">
      <c r="F557" s="4"/>
      <c r="G557" s="5"/>
    </row>
    <row r="558" spans="6:7" x14ac:dyDescent="0.3">
      <c r="F558" s="4"/>
      <c r="G558" s="5"/>
    </row>
    <row r="559" spans="6:7" x14ac:dyDescent="0.3">
      <c r="F559" s="4"/>
      <c r="G559" s="5"/>
    </row>
    <row r="560" spans="6:7" x14ac:dyDescent="0.3">
      <c r="F560" s="4"/>
      <c r="G560" s="5"/>
    </row>
    <row r="561" spans="6:7" x14ac:dyDescent="0.3">
      <c r="F561" s="4"/>
      <c r="G561" s="5"/>
    </row>
    <row r="562" spans="6:7" x14ac:dyDescent="0.3">
      <c r="F562" s="4"/>
      <c r="G562" s="5"/>
    </row>
    <row r="563" spans="6:7" x14ac:dyDescent="0.3">
      <c r="F563" s="4"/>
      <c r="G563" s="5"/>
    </row>
    <row r="564" spans="6:7" x14ac:dyDescent="0.3">
      <c r="F564" s="4"/>
      <c r="G564" s="5"/>
    </row>
    <row r="565" spans="6:7" x14ac:dyDescent="0.3">
      <c r="F565" s="4"/>
      <c r="G565" s="5"/>
    </row>
    <row r="566" spans="6:7" x14ac:dyDescent="0.3">
      <c r="F566" s="4"/>
      <c r="G566" s="5"/>
    </row>
    <row r="567" spans="6:7" x14ac:dyDescent="0.3">
      <c r="F567" s="4"/>
      <c r="G567" s="5"/>
    </row>
    <row r="568" spans="6:7" x14ac:dyDescent="0.3">
      <c r="F568" s="4"/>
      <c r="G568" s="5"/>
    </row>
    <row r="569" spans="6:7" x14ac:dyDescent="0.3">
      <c r="F569" s="4"/>
      <c r="G569" s="5"/>
    </row>
    <row r="570" spans="6:7" x14ac:dyDescent="0.3">
      <c r="F570" s="4"/>
      <c r="G570" s="5"/>
    </row>
    <row r="571" spans="6:7" x14ac:dyDescent="0.3">
      <c r="F571" s="4"/>
      <c r="G571" s="5"/>
    </row>
    <row r="572" spans="6:7" x14ac:dyDescent="0.3">
      <c r="F572" s="4"/>
      <c r="G572" s="5"/>
    </row>
    <row r="573" spans="6:7" x14ac:dyDescent="0.3">
      <c r="F573" s="4"/>
      <c r="G573" s="5"/>
    </row>
    <row r="574" spans="6:7" x14ac:dyDescent="0.3">
      <c r="F574" s="4"/>
      <c r="G574" s="5"/>
    </row>
    <row r="575" spans="6:7" x14ac:dyDescent="0.3">
      <c r="F575" s="4"/>
      <c r="G575" s="5"/>
    </row>
    <row r="576" spans="6:7" x14ac:dyDescent="0.3">
      <c r="F576" s="4"/>
      <c r="G576" s="5"/>
    </row>
    <row r="577" spans="6:7" x14ac:dyDescent="0.3">
      <c r="F577" s="4"/>
      <c r="G577" s="5"/>
    </row>
    <row r="578" spans="6:7" x14ac:dyDescent="0.3">
      <c r="F578" s="4"/>
      <c r="G578" s="5"/>
    </row>
    <row r="579" spans="6:7" x14ac:dyDescent="0.3">
      <c r="F579" s="4"/>
      <c r="G579" s="5"/>
    </row>
    <row r="580" spans="6:7" x14ac:dyDescent="0.3">
      <c r="F580" s="4"/>
      <c r="G580" s="5"/>
    </row>
    <row r="581" spans="6:7" x14ac:dyDescent="0.3">
      <c r="F581" s="4"/>
      <c r="G581" s="5"/>
    </row>
    <row r="582" spans="6:7" x14ac:dyDescent="0.3">
      <c r="F582" s="4"/>
      <c r="G582" s="5"/>
    </row>
    <row r="583" spans="6:7" x14ac:dyDescent="0.3">
      <c r="F583" s="4"/>
      <c r="G583" s="5"/>
    </row>
    <row r="584" spans="6:7" x14ac:dyDescent="0.3">
      <c r="F584" s="4"/>
      <c r="G584" s="5"/>
    </row>
    <row r="585" spans="6:7" x14ac:dyDescent="0.3">
      <c r="F585" s="4"/>
      <c r="G585" s="5"/>
    </row>
    <row r="586" spans="6:7" x14ac:dyDescent="0.3">
      <c r="F586" s="4"/>
      <c r="G586" s="5"/>
    </row>
    <row r="587" spans="6:7" x14ac:dyDescent="0.3">
      <c r="F587" s="4"/>
      <c r="G587" s="5"/>
    </row>
    <row r="588" spans="6:7" x14ac:dyDescent="0.3">
      <c r="F588" s="4"/>
      <c r="G588" s="5"/>
    </row>
    <row r="589" spans="6:7" x14ac:dyDescent="0.3">
      <c r="F589" s="4"/>
      <c r="G589" s="5"/>
    </row>
    <row r="590" spans="6:7" x14ac:dyDescent="0.3">
      <c r="F590" s="4"/>
      <c r="G590" s="5"/>
    </row>
    <row r="591" spans="6:7" x14ac:dyDescent="0.3">
      <c r="F591" s="4"/>
      <c r="G591" s="5"/>
    </row>
    <row r="592" spans="6:7" x14ac:dyDescent="0.3">
      <c r="F592" s="4"/>
      <c r="G592" s="5"/>
    </row>
    <row r="593" spans="6:7" x14ac:dyDescent="0.3">
      <c r="F593" s="4"/>
      <c r="G593" s="5"/>
    </row>
    <row r="594" spans="6:7" x14ac:dyDescent="0.3">
      <c r="F594" s="4"/>
      <c r="G594" s="5"/>
    </row>
    <row r="595" spans="6:7" x14ac:dyDescent="0.3">
      <c r="F595" s="4"/>
      <c r="G595" s="5"/>
    </row>
    <row r="596" spans="6:7" x14ac:dyDescent="0.3">
      <c r="F596" s="4"/>
      <c r="G596" s="5"/>
    </row>
    <row r="597" spans="6:7" x14ac:dyDescent="0.3">
      <c r="F597" s="4"/>
      <c r="G597" s="5"/>
    </row>
    <row r="598" spans="6:7" x14ac:dyDescent="0.3">
      <c r="F598" s="4"/>
      <c r="G598" s="5"/>
    </row>
    <row r="599" spans="6:7" x14ac:dyDescent="0.3">
      <c r="F599" s="4"/>
      <c r="G599" s="5"/>
    </row>
    <row r="600" spans="6:7" x14ac:dyDescent="0.3">
      <c r="F600" s="4"/>
      <c r="G600" s="5"/>
    </row>
    <row r="601" spans="6:7" x14ac:dyDescent="0.3">
      <c r="F601" s="4"/>
      <c r="G601" s="5"/>
    </row>
    <row r="602" spans="6:7" x14ac:dyDescent="0.3">
      <c r="F602" s="4"/>
      <c r="G602" s="5"/>
    </row>
    <row r="603" spans="6:7" x14ac:dyDescent="0.3">
      <c r="F603" s="4"/>
      <c r="G603" s="5"/>
    </row>
    <row r="604" spans="6:7" x14ac:dyDescent="0.3">
      <c r="F604" s="4"/>
      <c r="G604" s="5"/>
    </row>
    <row r="605" spans="6:7" x14ac:dyDescent="0.3">
      <c r="F605" s="4"/>
      <c r="G605" s="5"/>
    </row>
    <row r="606" spans="6:7" x14ac:dyDescent="0.3">
      <c r="F606" s="4"/>
      <c r="G606" s="5"/>
    </row>
    <row r="607" spans="6:7" x14ac:dyDescent="0.3">
      <c r="F607" s="4"/>
      <c r="G607" s="5"/>
    </row>
    <row r="608" spans="6:7" x14ac:dyDescent="0.3">
      <c r="F608" s="4"/>
      <c r="G608" s="5"/>
    </row>
    <row r="609" spans="6:7" x14ac:dyDescent="0.3">
      <c r="F609" s="4"/>
      <c r="G609" s="5"/>
    </row>
    <row r="610" spans="6:7" x14ac:dyDescent="0.3">
      <c r="F610" s="4"/>
      <c r="G610" s="5"/>
    </row>
    <row r="611" spans="6:7" x14ac:dyDescent="0.3">
      <c r="F611" s="4"/>
      <c r="G611" s="5"/>
    </row>
    <row r="612" spans="6:7" x14ac:dyDescent="0.3">
      <c r="F612" s="4"/>
      <c r="G612" s="5"/>
    </row>
    <row r="613" spans="6:7" x14ac:dyDescent="0.3">
      <c r="F613" s="4"/>
      <c r="G613" s="5"/>
    </row>
    <row r="614" spans="6:7" x14ac:dyDescent="0.3">
      <c r="F614" s="4"/>
      <c r="G614" s="5"/>
    </row>
    <row r="615" spans="6:7" x14ac:dyDescent="0.3">
      <c r="F615" s="4"/>
      <c r="G615" s="5"/>
    </row>
    <row r="616" spans="6:7" x14ac:dyDescent="0.3">
      <c r="F616" s="4"/>
      <c r="G616" s="5"/>
    </row>
    <row r="617" spans="6:7" x14ac:dyDescent="0.3">
      <c r="F617" s="4"/>
      <c r="G617" s="5"/>
    </row>
    <row r="618" spans="6:7" x14ac:dyDescent="0.3">
      <c r="F618" s="4"/>
      <c r="G618" s="5"/>
    </row>
    <row r="619" spans="6:7" x14ac:dyDescent="0.3">
      <c r="F619" s="4"/>
      <c r="G619" s="5"/>
    </row>
    <row r="620" spans="6:7" x14ac:dyDescent="0.3">
      <c r="F620" s="4"/>
      <c r="G620" s="5"/>
    </row>
    <row r="621" spans="6:7" x14ac:dyDescent="0.3">
      <c r="F621" s="4"/>
      <c r="G621" s="5"/>
    </row>
    <row r="622" spans="6:7" x14ac:dyDescent="0.3">
      <c r="F622" s="4"/>
      <c r="G622" s="5"/>
    </row>
    <row r="623" spans="6:7" x14ac:dyDescent="0.3">
      <c r="F623" s="4"/>
      <c r="G623" s="5"/>
    </row>
    <row r="624" spans="6:7" x14ac:dyDescent="0.3">
      <c r="F624" s="4"/>
      <c r="G624" s="5"/>
    </row>
    <row r="625" spans="6:7" x14ac:dyDescent="0.3">
      <c r="F625" s="4"/>
      <c r="G625" s="5"/>
    </row>
    <row r="626" spans="6:7" x14ac:dyDescent="0.3">
      <c r="F626" s="4"/>
      <c r="G626" s="5"/>
    </row>
    <row r="627" spans="6:7" x14ac:dyDescent="0.3">
      <c r="F627" s="4"/>
      <c r="G627" s="5"/>
    </row>
    <row r="628" spans="6:7" x14ac:dyDescent="0.3">
      <c r="F628" s="4"/>
      <c r="G628" s="5"/>
    </row>
    <row r="629" spans="6:7" x14ac:dyDescent="0.3">
      <c r="F629" s="4"/>
      <c r="G629" s="5"/>
    </row>
    <row r="630" spans="6:7" x14ac:dyDescent="0.3">
      <c r="F630" s="4"/>
      <c r="G630" s="5"/>
    </row>
    <row r="631" spans="6:7" x14ac:dyDescent="0.3">
      <c r="F631" s="4"/>
      <c r="G631" s="5"/>
    </row>
    <row r="632" spans="6:7" x14ac:dyDescent="0.3">
      <c r="F632" s="4"/>
      <c r="G632" s="5"/>
    </row>
    <row r="633" spans="6:7" x14ac:dyDescent="0.3">
      <c r="F633" s="4"/>
      <c r="G633" s="5"/>
    </row>
    <row r="634" spans="6:7" x14ac:dyDescent="0.3">
      <c r="F634" s="4"/>
      <c r="G634" s="5"/>
    </row>
    <row r="635" spans="6:7" x14ac:dyDescent="0.3">
      <c r="F635" s="4"/>
      <c r="G635" s="5"/>
    </row>
    <row r="636" spans="6:7" x14ac:dyDescent="0.3">
      <c r="F636" s="4"/>
      <c r="G636" s="5"/>
    </row>
    <row r="637" spans="6:7" x14ac:dyDescent="0.3">
      <c r="F637" s="4"/>
      <c r="G637" s="5"/>
    </row>
    <row r="638" spans="6:7" x14ac:dyDescent="0.3">
      <c r="F638" s="4"/>
      <c r="G638" s="5"/>
    </row>
    <row r="639" spans="6:7" x14ac:dyDescent="0.3">
      <c r="F639" s="4"/>
      <c r="G639" s="5"/>
    </row>
    <row r="640" spans="6:7" x14ac:dyDescent="0.3">
      <c r="F640" s="4"/>
      <c r="G640" s="5"/>
    </row>
    <row r="641" spans="6:7" x14ac:dyDescent="0.3">
      <c r="F641" s="4"/>
      <c r="G641" s="5"/>
    </row>
    <row r="642" spans="6:7" x14ac:dyDescent="0.3">
      <c r="F642" s="4"/>
      <c r="G642" s="5"/>
    </row>
    <row r="643" spans="6:7" x14ac:dyDescent="0.3">
      <c r="F643" s="4"/>
      <c r="G643" s="5"/>
    </row>
    <row r="644" spans="6:7" x14ac:dyDescent="0.3">
      <c r="F644" s="4"/>
      <c r="G644" s="5"/>
    </row>
    <row r="645" spans="6:7" x14ac:dyDescent="0.3">
      <c r="F645" s="4"/>
      <c r="G645" s="5"/>
    </row>
    <row r="646" spans="6:7" x14ac:dyDescent="0.3">
      <c r="F646" s="4"/>
      <c r="G646" s="5"/>
    </row>
    <row r="647" spans="6:7" x14ac:dyDescent="0.3">
      <c r="F647" s="4"/>
      <c r="G647" s="5"/>
    </row>
    <row r="648" spans="6:7" x14ac:dyDescent="0.3">
      <c r="F648" s="4"/>
      <c r="G648" s="5"/>
    </row>
    <row r="649" spans="6:7" x14ac:dyDescent="0.3">
      <c r="F649" s="4"/>
      <c r="G649" s="5"/>
    </row>
    <row r="650" spans="6:7" x14ac:dyDescent="0.3">
      <c r="F650" s="4"/>
      <c r="G650" s="5"/>
    </row>
    <row r="651" spans="6:7" x14ac:dyDescent="0.3">
      <c r="F651" s="4"/>
      <c r="G651" s="5"/>
    </row>
    <row r="652" spans="6:7" x14ac:dyDescent="0.3">
      <c r="F652" s="4"/>
      <c r="G652" s="5"/>
    </row>
    <row r="653" spans="6:7" x14ac:dyDescent="0.3">
      <c r="F653" s="4"/>
      <c r="G653" s="5"/>
    </row>
    <row r="654" spans="6:7" x14ac:dyDescent="0.3">
      <c r="F654" s="4"/>
      <c r="G654" s="5"/>
    </row>
    <row r="655" spans="6:7" x14ac:dyDescent="0.3">
      <c r="F655" s="4"/>
      <c r="G655" s="5"/>
    </row>
    <row r="656" spans="6:7" x14ac:dyDescent="0.3">
      <c r="F656" s="4"/>
      <c r="G656" s="5"/>
    </row>
    <row r="657" spans="6:7" x14ac:dyDescent="0.3">
      <c r="F657" s="4"/>
      <c r="G657" s="5"/>
    </row>
    <row r="658" spans="6:7" x14ac:dyDescent="0.3">
      <c r="F658" s="4"/>
      <c r="G658" s="5"/>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D7F95-49CF-4411-8454-506CD4A20F30}">
  <dimension ref="A1:W37"/>
  <sheetViews>
    <sheetView zoomScale="121" zoomScaleNormal="145" workbookViewId="0">
      <selection activeCell="E3" sqref="E3"/>
    </sheetView>
  </sheetViews>
  <sheetFormatPr defaultRowHeight="14.4" x14ac:dyDescent="0.3"/>
  <cols>
    <col min="1" max="1" width="16.109375" customWidth="1"/>
    <col min="2" max="2" width="9.77734375" customWidth="1"/>
    <col min="3" max="3" width="10.44140625" customWidth="1"/>
    <col min="6" max="6" width="10.44140625" customWidth="1"/>
  </cols>
  <sheetData>
    <row r="1" spans="1:23" x14ac:dyDescent="0.3">
      <c r="A1" s="70" t="s">
        <v>68</v>
      </c>
      <c r="B1" s="70"/>
      <c r="C1" s="70"/>
      <c r="D1" s="70"/>
      <c r="E1" s="70"/>
      <c r="F1" s="70"/>
      <c r="G1" s="70"/>
      <c r="H1" s="70"/>
      <c r="I1" s="70"/>
      <c r="J1" s="70"/>
      <c r="K1" s="70"/>
      <c r="L1" s="70"/>
      <c r="M1" s="70"/>
      <c r="N1" s="70"/>
      <c r="O1" s="70"/>
      <c r="P1" s="70"/>
      <c r="Q1" s="70"/>
      <c r="R1" s="70"/>
      <c r="S1" s="70"/>
      <c r="T1" s="70"/>
      <c r="U1" s="70"/>
      <c r="V1" s="70"/>
      <c r="W1" s="70"/>
    </row>
    <row r="2" spans="1:23" ht="25.8" customHeight="1" x14ac:dyDescent="0.3">
      <c r="A2" s="70"/>
      <c r="B2" s="70"/>
      <c r="C2" s="70"/>
      <c r="D2" s="70"/>
      <c r="E2" s="70"/>
      <c r="F2" s="70"/>
      <c r="G2" s="70"/>
      <c r="H2" s="70"/>
      <c r="I2" s="70"/>
      <c r="J2" s="70"/>
      <c r="K2" s="70"/>
      <c r="L2" s="70"/>
      <c r="M2" s="70"/>
      <c r="N2" s="70"/>
      <c r="O2" s="70"/>
      <c r="P2" s="70"/>
      <c r="Q2" s="70"/>
      <c r="R2" s="70"/>
      <c r="S2" s="70"/>
      <c r="T2" s="70"/>
      <c r="U2" s="70"/>
      <c r="V2" s="70"/>
      <c r="W2" s="70"/>
    </row>
    <row r="4" spans="1:23" x14ac:dyDescent="0.3">
      <c r="C4" s="16" t="s">
        <v>1</v>
      </c>
      <c r="D4" s="16" t="s">
        <v>69</v>
      </c>
    </row>
    <row r="5" spans="1:23" x14ac:dyDescent="0.3">
      <c r="B5" t="s">
        <v>56</v>
      </c>
      <c r="C5" s="14">
        <f>SUM(Table2[Amount])</f>
        <v>1240869</v>
      </c>
      <c r="D5" s="14">
        <f>SUM(Table2[Units])</f>
        <v>45660</v>
      </c>
    </row>
    <row r="6" spans="1:23" x14ac:dyDescent="0.3">
      <c r="B6" t="s">
        <v>57</v>
      </c>
      <c r="C6" s="14">
        <f>AVERAGE(Table2[Amount])</f>
        <v>4136.2299999999996</v>
      </c>
      <c r="D6" s="14">
        <f>AVERAGE(Table2[Units])</f>
        <v>152.19999999999999</v>
      </c>
    </row>
    <row r="7" spans="1:23" x14ac:dyDescent="0.3">
      <c r="B7" t="s">
        <v>58</v>
      </c>
      <c r="C7" s="14">
        <f>MEDIAN(Table2[Amount])</f>
        <v>3437</v>
      </c>
      <c r="D7" s="14">
        <f>MEDIAN(Table2[Units])</f>
        <v>124.5</v>
      </c>
      <c r="F7" s="4"/>
    </row>
    <row r="8" spans="1:23" x14ac:dyDescent="0.3">
      <c r="B8" t="s">
        <v>59</v>
      </c>
      <c r="C8" s="14">
        <f>MIN(Table2[Amount])</f>
        <v>0</v>
      </c>
      <c r="D8" s="14">
        <f>MIN(Table2[Units])</f>
        <v>0</v>
      </c>
    </row>
    <row r="9" spans="1:23" x14ac:dyDescent="0.3">
      <c r="B9" t="s">
        <v>60</v>
      </c>
      <c r="C9" s="14">
        <f>MAX(Table2[Amount])</f>
        <v>16184</v>
      </c>
      <c r="D9" s="14">
        <f>MAX(Table2[Units])</f>
        <v>525</v>
      </c>
      <c r="E9" s="12"/>
    </row>
    <row r="10" spans="1:23" x14ac:dyDescent="0.3">
      <c r="B10" t="s">
        <v>61</v>
      </c>
      <c r="C10" s="14">
        <f>C9-C8</f>
        <v>16184</v>
      </c>
      <c r="D10" s="14">
        <f>D9-D8</f>
        <v>525</v>
      </c>
    </row>
    <row r="11" spans="1:23" x14ac:dyDescent="0.3">
      <c r="A11" s="13" t="s">
        <v>62</v>
      </c>
      <c r="B11" s="12" t="s">
        <v>63</v>
      </c>
      <c r="C11" s="14">
        <f>_xlfn.PERCENTILE.EXC(Table2[Amount],0.25)</f>
        <v>1652</v>
      </c>
      <c r="D11" s="14">
        <f>_xlfn.PERCENTILE.EXC(Table2[Units],0.25)</f>
        <v>54</v>
      </c>
    </row>
    <row r="12" spans="1:23" x14ac:dyDescent="0.3">
      <c r="B12" s="12" t="s">
        <v>64</v>
      </c>
      <c r="C12" s="14">
        <f>_xlfn.PERCENTILE.EXC(Table2[Amount],0.75)</f>
        <v>6245.75</v>
      </c>
      <c r="D12" s="14">
        <f>_xlfn.PERCENTILE.EXC(Table2[Units],0.75)</f>
        <v>223.5</v>
      </c>
    </row>
    <row r="13" spans="1:23" x14ac:dyDescent="0.3">
      <c r="A13" s="13" t="s">
        <v>65</v>
      </c>
      <c r="B13" s="13"/>
      <c r="C13" s="13"/>
      <c r="D13" s="4"/>
    </row>
    <row r="14" spans="1:23" x14ac:dyDescent="0.3">
      <c r="B14" t="s">
        <v>66</v>
      </c>
      <c r="D14" t="str" cm="1">
        <f t="array" ref="D14:D35">_xlfn.UNIQUE(Table2[Product])</f>
        <v>70% Dark Bites</v>
      </c>
    </row>
    <row r="15" spans="1:23" x14ac:dyDescent="0.3">
      <c r="D15" t="str">
        <v>Choco Coated Almonds</v>
      </c>
    </row>
    <row r="16" spans="1:23" x14ac:dyDescent="0.3">
      <c r="D16" t="str">
        <v>Almond Choco</v>
      </c>
    </row>
    <row r="17" spans="4:4" x14ac:dyDescent="0.3">
      <c r="D17" t="str">
        <v>Drinking Coco</v>
      </c>
    </row>
    <row r="18" spans="4:4" x14ac:dyDescent="0.3">
      <c r="D18" t="str">
        <v>White Choc</v>
      </c>
    </row>
    <row r="19" spans="4:4" x14ac:dyDescent="0.3">
      <c r="D19" t="str">
        <v>Peanut Butter Cubes</v>
      </c>
    </row>
    <row r="20" spans="4:4" x14ac:dyDescent="0.3">
      <c r="D20" t="str">
        <v>Smooth Sliky Salty</v>
      </c>
    </row>
    <row r="21" spans="4:4" x14ac:dyDescent="0.3">
      <c r="D21" t="str">
        <v>After Nines</v>
      </c>
    </row>
    <row r="22" spans="4:4" x14ac:dyDescent="0.3">
      <c r="D22" t="str">
        <v>50% Dark Bites</v>
      </c>
    </row>
    <row r="23" spans="4:4" x14ac:dyDescent="0.3">
      <c r="D23" t="str">
        <v>Eclairs</v>
      </c>
    </row>
    <row r="24" spans="4:4" x14ac:dyDescent="0.3">
      <c r="D24" t="str">
        <v>Mint Chip Choco</v>
      </c>
    </row>
    <row r="25" spans="4:4" x14ac:dyDescent="0.3">
      <c r="D25" t="str">
        <v>Milk Bars</v>
      </c>
    </row>
    <row r="26" spans="4:4" x14ac:dyDescent="0.3">
      <c r="D26" t="str">
        <v>Manuka Honey Choco</v>
      </c>
    </row>
    <row r="27" spans="4:4" x14ac:dyDescent="0.3">
      <c r="D27" t="str">
        <v>Orange Choco</v>
      </c>
    </row>
    <row r="28" spans="4:4" x14ac:dyDescent="0.3">
      <c r="D28" t="str">
        <v>Fruit &amp; Nut Bars</v>
      </c>
    </row>
    <row r="29" spans="4:4" x14ac:dyDescent="0.3">
      <c r="D29" t="str">
        <v>99% Dark &amp; Pure</v>
      </c>
    </row>
    <row r="30" spans="4:4" x14ac:dyDescent="0.3">
      <c r="D30" t="str">
        <v>Raspberry Choco</v>
      </c>
    </row>
    <row r="31" spans="4:4" x14ac:dyDescent="0.3">
      <c r="D31" t="str">
        <v>85% Dark Bars</v>
      </c>
    </row>
    <row r="32" spans="4:4" x14ac:dyDescent="0.3">
      <c r="D32" t="str">
        <v>Organic Choco Syrup</v>
      </c>
    </row>
    <row r="33" spans="2:4" x14ac:dyDescent="0.3">
      <c r="D33" t="str">
        <v>Caramel Stuffed Bars</v>
      </c>
    </row>
    <row r="34" spans="2:4" x14ac:dyDescent="0.3">
      <c r="D34" t="str">
        <v>Spicy Special Slims</v>
      </c>
    </row>
    <row r="35" spans="2:4" x14ac:dyDescent="0.3">
      <c r="D35" t="str">
        <v>Baker's Choco Chips</v>
      </c>
    </row>
    <row r="37" spans="2:4" x14ac:dyDescent="0.3">
      <c r="B37" s="17" t="s">
        <v>67</v>
      </c>
      <c r="C37" s="17"/>
      <c r="D37">
        <f>COUNTA(_xlfn.UNIQUE(Table2[Product]))</f>
        <v>22</v>
      </c>
    </row>
  </sheetData>
  <mergeCells count="1">
    <mergeCell ref="A1:W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25A3E-0A7B-49E6-87B9-7C3B00F046F6}">
  <dimension ref="A1:X308"/>
  <sheetViews>
    <sheetView workbookViewId="0">
      <selection activeCell="G7" sqref="G7"/>
    </sheetView>
  </sheetViews>
  <sheetFormatPr defaultRowHeight="14.4" x14ac:dyDescent="0.3"/>
  <cols>
    <col min="1" max="1" width="4.6640625" customWidth="1"/>
    <col min="2" max="2" width="15" customWidth="1"/>
    <col min="3" max="3" width="16.88671875" customWidth="1"/>
    <col min="4" max="4" width="19.44140625" customWidth="1"/>
    <col min="5" max="5" width="13.88671875" customWidth="1"/>
    <col min="6" max="6" width="11" customWidth="1"/>
    <col min="11" max="11" width="12.77734375" customWidth="1"/>
    <col min="12" max="12" width="10" customWidth="1"/>
    <col min="13" max="13" width="19.109375" customWidth="1"/>
  </cols>
  <sheetData>
    <row r="1" spans="1:24" ht="25.8" x14ac:dyDescent="0.3">
      <c r="A1" s="25">
        <v>2</v>
      </c>
      <c r="B1" s="15" t="s">
        <v>53</v>
      </c>
      <c r="C1" s="15"/>
      <c r="D1" s="15"/>
      <c r="E1" s="15"/>
      <c r="F1" s="15"/>
      <c r="G1" s="15"/>
      <c r="H1" s="15"/>
      <c r="I1" s="15"/>
      <c r="J1" s="15"/>
      <c r="K1" s="15"/>
      <c r="L1" s="15"/>
      <c r="M1" s="15"/>
      <c r="N1" s="15"/>
      <c r="O1" s="15"/>
      <c r="P1" s="15"/>
      <c r="Q1" s="15"/>
      <c r="R1" s="15"/>
      <c r="S1" s="15"/>
      <c r="T1" s="15"/>
      <c r="U1" s="15"/>
      <c r="V1" s="15"/>
      <c r="W1" s="15"/>
      <c r="X1" s="15"/>
    </row>
    <row r="2" spans="1:24" ht="25.8" x14ac:dyDescent="0.5">
      <c r="A2" s="35"/>
      <c r="B2" s="15"/>
      <c r="C2" s="15"/>
      <c r="D2" s="15"/>
      <c r="E2" s="15"/>
      <c r="F2" s="15"/>
      <c r="G2" s="15"/>
      <c r="H2" s="15"/>
      <c r="I2" s="15"/>
      <c r="J2" s="15"/>
      <c r="K2" s="15"/>
      <c r="L2" s="15"/>
      <c r="M2" s="15"/>
      <c r="N2" s="15"/>
      <c r="O2" s="15"/>
      <c r="P2" s="15"/>
      <c r="Q2" s="15"/>
      <c r="R2" s="15"/>
      <c r="S2" s="15"/>
      <c r="T2" s="15"/>
      <c r="U2" s="15"/>
      <c r="V2" s="15"/>
      <c r="W2" s="15"/>
      <c r="X2" s="15"/>
    </row>
    <row r="8" spans="1:24" x14ac:dyDescent="0.3">
      <c r="B8" s="6" t="s">
        <v>11</v>
      </c>
      <c r="C8" s="6" t="s">
        <v>12</v>
      </c>
      <c r="D8" s="6" t="s">
        <v>0</v>
      </c>
      <c r="E8" s="10" t="s">
        <v>1</v>
      </c>
      <c r="F8" s="10" t="s">
        <v>50</v>
      </c>
    </row>
    <row r="9" spans="1:24" x14ac:dyDescent="0.3">
      <c r="B9" t="s">
        <v>40</v>
      </c>
      <c r="C9" t="s">
        <v>37</v>
      </c>
      <c r="D9" t="s">
        <v>30</v>
      </c>
      <c r="E9" s="4">
        <v>1624</v>
      </c>
      <c r="F9" s="5">
        <v>114</v>
      </c>
      <c r="K9" t="s">
        <v>70</v>
      </c>
    </row>
    <row r="10" spans="1:24" x14ac:dyDescent="0.3">
      <c r="B10" t="s">
        <v>8</v>
      </c>
      <c r="C10" t="s">
        <v>35</v>
      </c>
      <c r="D10" t="s">
        <v>32</v>
      </c>
      <c r="E10" s="4">
        <v>6706</v>
      </c>
      <c r="F10" s="5">
        <v>459</v>
      </c>
    </row>
    <row r="11" spans="1:24" x14ac:dyDescent="0.3">
      <c r="B11" t="s">
        <v>9</v>
      </c>
      <c r="C11" t="s">
        <v>35</v>
      </c>
      <c r="D11" t="s">
        <v>4</v>
      </c>
      <c r="E11" s="4">
        <v>959</v>
      </c>
      <c r="F11" s="5">
        <v>147</v>
      </c>
      <c r="K11" s="26" t="s">
        <v>11</v>
      </c>
      <c r="L11" s="27" t="s">
        <v>12</v>
      </c>
      <c r="M11" s="27" t="s">
        <v>0</v>
      </c>
      <c r="N11" s="28" t="s">
        <v>1</v>
      </c>
      <c r="O11" s="29" t="s">
        <v>50</v>
      </c>
    </row>
    <row r="12" spans="1:24" x14ac:dyDescent="0.3">
      <c r="B12" t="s">
        <v>41</v>
      </c>
      <c r="C12" t="s">
        <v>36</v>
      </c>
      <c r="D12" t="s">
        <v>18</v>
      </c>
      <c r="E12" s="4">
        <v>9632</v>
      </c>
      <c r="F12" s="5">
        <v>288</v>
      </c>
      <c r="K12" s="21" t="s">
        <v>5</v>
      </c>
      <c r="L12" s="18" t="s">
        <v>34</v>
      </c>
      <c r="M12" s="18" t="s">
        <v>20</v>
      </c>
      <c r="N12" s="30">
        <v>15610</v>
      </c>
      <c r="O12" s="31">
        <v>339</v>
      </c>
    </row>
    <row r="13" spans="1:24" x14ac:dyDescent="0.3">
      <c r="B13" t="s">
        <v>6</v>
      </c>
      <c r="C13" t="s">
        <v>39</v>
      </c>
      <c r="D13" t="s">
        <v>25</v>
      </c>
      <c r="E13" s="4">
        <v>2100</v>
      </c>
      <c r="F13" s="5">
        <v>414</v>
      </c>
      <c r="K13" s="21" t="s">
        <v>41</v>
      </c>
      <c r="L13" s="18" t="s">
        <v>36</v>
      </c>
      <c r="M13" s="18" t="s">
        <v>13</v>
      </c>
      <c r="N13" s="30">
        <v>10311</v>
      </c>
      <c r="O13" s="31">
        <v>231</v>
      </c>
    </row>
    <row r="14" spans="1:24" x14ac:dyDescent="0.3">
      <c r="B14" t="s">
        <v>40</v>
      </c>
      <c r="C14" t="s">
        <v>35</v>
      </c>
      <c r="D14" t="s">
        <v>33</v>
      </c>
      <c r="E14" s="4">
        <v>8869</v>
      </c>
      <c r="F14" s="5">
        <v>432</v>
      </c>
      <c r="K14" s="19" t="s">
        <v>5</v>
      </c>
      <c r="L14" s="20" t="s">
        <v>36</v>
      </c>
      <c r="M14" s="20" t="s">
        <v>16</v>
      </c>
      <c r="N14" s="32">
        <v>16184</v>
      </c>
      <c r="O14" s="33">
        <v>39</v>
      </c>
    </row>
    <row r="15" spans="1:24" x14ac:dyDescent="0.3">
      <c r="B15" t="s">
        <v>6</v>
      </c>
      <c r="C15" t="s">
        <v>38</v>
      </c>
      <c r="D15" t="s">
        <v>31</v>
      </c>
      <c r="E15" s="4">
        <v>2681</v>
      </c>
      <c r="F15" s="5">
        <v>54</v>
      </c>
      <c r="K15" s="19" t="s">
        <v>9</v>
      </c>
      <c r="L15" s="20" t="s">
        <v>34</v>
      </c>
      <c r="M15" s="20" t="s">
        <v>28</v>
      </c>
      <c r="N15" s="32">
        <v>14329</v>
      </c>
      <c r="O15" s="33">
        <v>150</v>
      </c>
    </row>
    <row r="16" spans="1:24" x14ac:dyDescent="0.3">
      <c r="B16" t="s">
        <v>8</v>
      </c>
      <c r="C16" t="s">
        <v>35</v>
      </c>
      <c r="D16" t="s">
        <v>22</v>
      </c>
      <c r="E16" s="4">
        <v>5012</v>
      </c>
      <c r="F16" s="5">
        <v>210</v>
      </c>
      <c r="K16" s="21" t="s">
        <v>5</v>
      </c>
      <c r="L16" s="18" t="s">
        <v>35</v>
      </c>
      <c r="M16" s="18" t="s">
        <v>15</v>
      </c>
      <c r="N16" s="30">
        <v>13391</v>
      </c>
      <c r="O16" s="31">
        <v>201</v>
      </c>
    </row>
    <row r="17" spans="2:15" x14ac:dyDescent="0.3">
      <c r="B17" t="s">
        <v>7</v>
      </c>
      <c r="C17" t="s">
        <v>38</v>
      </c>
      <c r="D17" t="s">
        <v>14</v>
      </c>
      <c r="E17" s="4">
        <v>1281</v>
      </c>
      <c r="F17" s="5">
        <v>75</v>
      </c>
      <c r="K17" s="19" t="s">
        <v>40</v>
      </c>
      <c r="L17" s="20" t="s">
        <v>35</v>
      </c>
      <c r="M17" s="20" t="s">
        <v>32</v>
      </c>
      <c r="N17" s="32">
        <v>12348</v>
      </c>
      <c r="O17" s="33">
        <v>234</v>
      </c>
    </row>
    <row r="18" spans="2:15" x14ac:dyDescent="0.3">
      <c r="B18" t="s">
        <v>5</v>
      </c>
      <c r="C18" t="s">
        <v>37</v>
      </c>
      <c r="D18" t="s">
        <v>14</v>
      </c>
      <c r="E18" s="4">
        <v>4991</v>
      </c>
      <c r="F18" s="5">
        <v>12</v>
      </c>
      <c r="K18" s="19" t="s">
        <v>2</v>
      </c>
      <c r="L18" s="20" t="s">
        <v>36</v>
      </c>
      <c r="M18" s="20" t="s">
        <v>16</v>
      </c>
      <c r="N18" s="32">
        <v>11417</v>
      </c>
      <c r="O18" s="33">
        <v>21</v>
      </c>
    </row>
    <row r="19" spans="2:15" x14ac:dyDescent="0.3">
      <c r="B19" t="s">
        <v>2</v>
      </c>
      <c r="C19" t="s">
        <v>39</v>
      </c>
      <c r="D19" t="s">
        <v>25</v>
      </c>
      <c r="E19" s="4">
        <v>1785</v>
      </c>
      <c r="F19" s="5">
        <v>462</v>
      </c>
      <c r="K19" s="19" t="s">
        <v>2</v>
      </c>
      <c r="L19" s="20" t="s">
        <v>37</v>
      </c>
      <c r="M19" s="20" t="s">
        <v>18</v>
      </c>
      <c r="N19" s="32">
        <v>11571</v>
      </c>
      <c r="O19" s="33">
        <v>138</v>
      </c>
    </row>
    <row r="20" spans="2:15" x14ac:dyDescent="0.3">
      <c r="B20" t="s">
        <v>3</v>
      </c>
      <c r="C20" t="s">
        <v>37</v>
      </c>
      <c r="D20" t="s">
        <v>17</v>
      </c>
      <c r="E20" s="4">
        <v>3983</v>
      </c>
      <c r="F20" s="5">
        <v>144</v>
      </c>
      <c r="K20" s="21" t="s">
        <v>10</v>
      </c>
      <c r="L20" s="18" t="s">
        <v>39</v>
      </c>
      <c r="M20" s="18" t="s">
        <v>33</v>
      </c>
      <c r="N20" s="30">
        <v>12950</v>
      </c>
      <c r="O20" s="31">
        <v>30</v>
      </c>
    </row>
    <row r="21" spans="2:15" x14ac:dyDescent="0.3">
      <c r="B21" t="s">
        <v>9</v>
      </c>
      <c r="C21" t="s">
        <v>38</v>
      </c>
      <c r="D21" t="s">
        <v>16</v>
      </c>
      <c r="E21" s="4">
        <v>2646</v>
      </c>
      <c r="F21" s="5">
        <v>120</v>
      </c>
      <c r="K21" s="21" t="s">
        <v>9</v>
      </c>
      <c r="L21" s="18" t="s">
        <v>36</v>
      </c>
      <c r="M21" s="18" t="s">
        <v>27</v>
      </c>
      <c r="N21" s="30">
        <v>11522</v>
      </c>
      <c r="O21" s="31">
        <v>204</v>
      </c>
    </row>
    <row r="22" spans="2:15" x14ac:dyDescent="0.3">
      <c r="B22" t="s">
        <v>2</v>
      </c>
      <c r="C22" t="s">
        <v>34</v>
      </c>
      <c r="D22" t="s">
        <v>13</v>
      </c>
      <c r="E22" s="4">
        <v>252</v>
      </c>
      <c r="F22" s="5">
        <v>54</v>
      </c>
    </row>
    <row r="23" spans="2:15" x14ac:dyDescent="0.3">
      <c r="B23" t="s">
        <v>3</v>
      </c>
      <c r="C23" t="s">
        <v>35</v>
      </c>
      <c r="D23" t="s">
        <v>25</v>
      </c>
      <c r="E23" s="4">
        <v>2464</v>
      </c>
      <c r="F23" s="5">
        <v>234</v>
      </c>
    </row>
    <row r="24" spans="2:15" x14ac:dyDescent="0.3">
      <c r="B24" t="s">
        <v>3</v>
      </c>
      <c r="C24" t="s">
        <v>35</v>
      </c>
      <c r="D24" t="s">
        <v>29</v>
      </c>
      <c r="E24" s="4">
        <v>2114</v>
      </c>
      <c r="F24" s="5">
        <v>66</v>
      </c>
    </row>
    <row r="25" spans="2:15" x14ac:dyDescent="0.3">
      <c r="B25" t="s">
        <v>6</v>
      </c>
      <c r="C25" t="s">
        <v>37</v>
      </c>
      <c r="D25" t="s">
        <v>31</v>
      </c>
      <c r="E25" s="4">
        <v>7693</v>
      </c>
      <c r="F25" s="5">
        <v>87</v>
      </c>
    </row>
    <row r="26" spans="2:15" x14ac:dyDescent="0.3">
      <c r="B26" t="s">
        <v>5</v>
      </c>
      <c r="C26" t="s">
        <v>34</v>
      </c>
      <c r="D26" t="s">
        <v>20</v>
      </c>
      <c r="E26" s="4">
        <v>15610</v>
      </c>
      <c r="F26" s="5">
        <v>339</v>
      </c>
    </row>
    <row r="27" spans="2:15" x14ac:dyDescent="0.3">
      <c r="B27" t="s">
        <v>41</v>
      </c>
      <c r="C27" t="s">
        <v>34</v>
      </c>
      <c r="D27" t="s">
        <v>22</v>
      </c>
      <c r="E27" s="4">
        <v>336</v>
      </c>
      <c r="F27" s="5">
        <v>144</v>
      </c>
    </row>
    <row r="28" spans="2:15" x14ac:dyDescent="0.3">
      <c r="B28" t="s">
        <v>2</v>
      </c>
      <c r="C28" t="s">
        <v>39</v>
      </c>
      <c r="D28" t="s">
        <v>20</v>
      </c>
      <c r="E28" s="4">
        <v>9443</v>
      </c>
      <c r="F28" s="5">
        <v>162</v>
      </c>
    </row>
    <row r="29" spans="2:15" x14ac:dyDescent="0.3">
      <c r="B29" t="s">
        <v>9</v>
      </c>
      <c r="C29" t="s">
        <v>34</v>
      </c>
      <c r="D29" t="s">
        <v>23</v>
      </c>
      <c r="E29" s="4">
        <v>8155</v>
      </c>
      <c r="F29" s="5">
        <v>90</v>
      </c>
    </row>
    <row r="30" spans="2:15" x14ac:dyDescent="0.3">
      <c r="B30" t="s">
        <v>8</v>
      </c>
      <c r="C30" t="s">
        <v>38</v>
      </c>
      <c r="D30" t="s">
        <v>23</v>
      </c>
      <c r="E30" s="4">
        <v>1701</v>
      </c>
      <c r="F30" s="5">
        <v>234</v>
      </c>
    </row>
    <row r="31" spans="2:15" x14ac:dyDescent="0.3">
      <c r="B31" t="s">
        <v>10</v>
      </c>
      <c r="C31" t="s">
        <v>38</v>
      </c>
      <c r="D31" t="s">
        <v>22</v>
      </c>
      <c r="E31" s="4">
        <v>2205</v>
      </c>
      <c r="F31" s="5">
        <v>141</v>
      </c>
    </row>
    <row r="32" spans="2:15" x14ac:dyDescent="0.3">
      <c r="B32" t="s">
        <v>8</v>
      </c>
      <c r="C32" t="s">
        <v>37</v>
      </c>
      <c r="D32" t="s">
        <v>19</v>
      </c>
      <c r="E32" s="4">
        <v>1771</v>
      </c>
      <c r="F32" s="5">
        <v>204</v>
      </c>
    </row>
    <row r="33" spans="2:6" x14ac:dyDescent="0.3">
      <c r="B33" t="s">
        <v>41</v>
      </c>
      <c r="C33" t="s">
        <v>35</v>
      </c>
      <c r="D33" t="s">
        <v>15</v>
      </c>
      <c r="E33" s="4">
        <v>2114</v>
      </c>
      <c r="F33" s="5">
        <v>186</v>
      </c>
    </row>
    <row r="34" spans="2:6" x14ac:dyDescent="0.3">
      <c r="B34" t="s">
        <v>41</v>
      </c>
      <c r="C34" t="s">
        <v>36</v>
      </c>
      <c r="D34" t="s">
        <v>13</v>
      </c>
      <c r="E34" s="4">
        <v>10311</v>
      </c>
      <c r="F34" s="5">
        <v>231</v>
      </c>
    </row>
    <row r="35" spans="2:6" x14ac:dyDescent="0.3">
      <c r="B35" t="s">
        <v>3</v>
      </c>
      <c r="C35" t="s">
        <v>39</v>
      </c>
      <c r="D35" t="s">
        <v>16</v>
      </c>
      <c r="E35" s="4">
        <v>21</v>
      </c>
      <c r="F35" s="5">
        <v>168</v>
      </c>
    </row>
    <row r="36" spans="2:6" x14ac:dyDescent="0.3">
      <c r="B36" t="s">
        <v>10</v>
      </c>
      <c r="C36" t="s">
        <v>35</v>
      </c>
      <c r="D36" t="s">
        <v>20</v>
      </c>
      <c r="E36" s="4">
        <v>1974</v>
      </c>
      <c r="F36" s="5">
        <v>195</v>
      </c>
    </row>
    <row r="37" spans="2:6" x14ac:dyDescent="0.3">
      <c r="B37" t="s">
        <v>5</v>
      </c>
      <c r="C37" t="s">
        <v>36</v>
      </c>
      <c r="D37" t="s">
        <v>23</v>
      </c>
      <c r="E37" s="4">
        <v>6314</v>
      </c>
      <c r="F37" s="5">
        <v>15</v>
      </c>
    </row>
    <row r="38" spans="2:6" x14ac:dyDescent="0.3">
      <c r="B38" t="s">
        <v>10</v>
      </c>
      <c r="C38" t="s">
        <v>37</v>
      </c>
      <c r="D38" t="s">
        <v>23</v>
      </c>
      <c r="E38" s="4">
        <v>4683</v>
      </c>
      <c r="F38" s="5">
        <v>30</v>
      </c>
    </row>
    <row r="39" spans="2:6" x14ac:dyDescent="0.3">
      <c r="B39" t="s">
        <v>41</v>
      </c>
      <c r="C39" t="s">
        <v>37</v>
      </c>
      <c r="D39" t="s">
        <v>24</v>
      </c>
      <c r="E39" s="4">
        <v>6398</v>
      </c>
      <c r="F39" s="5">
        <v>102</v>
      </c>
    </row>
    <row r="40" spans="2:6" x14ac:dyDescent="0.3">
      <c r="B40" t="s">
        <v>2</v>
      </c>
      <c r="C40" t="s">
        <v>35</v>
      </c>
      <c r="D40" t="s">
        <v>19</v>
      </c>
      <c r="E40" s="4">
        <v>553</v>
      </c>
      <c r="F40" s="5">
        <v>15</v>
      </c>
    </row>
    <row r="41" spans="2:6" x14ac:dyDescent="0.3">
      <c r="B41" t="s">
        <v>8</v>
      </c>
      <c r="C41" t="s">
        <v>39</v>
      </c>
      <c r="D41" t="s">
        <v>30</v>
      </c>
      <c r="E41" s="4">
        <v>7021</v>
      </c>
      <c r="F41" s="5">
        <v>183</v>
      </c>
    </row>
    <row r="42" spans="2:6" x14ac:dyDescent="0.3">
      <c r="B42" t="s">
        <v>40</v>
      </c>
      <c r="C42" t="s">
        <v>39</v>
      </c>
      <c r="D42" t="s">
        <v>22</v>
      </c>
      <c r="E42" s="4">
        <v>5817</v>
      </c>
      <c r="F42" s="5">
        <v>12</v>
      </c>
    </row>
    <row r="43" spans="2:6" x14ac:dyDescent="0.3">
      <c r="B43" t="s">
        <v>41</v>
      </c>
      <c r="C43" t="s">
        <v>39</v>
      </c>
      <c r="D43" t="s">
        <v>14</v>
      </c>
      <c r="E43" s="4">
        <v>3976</v>
      </c>
      <c r="F43" s="5">
        <v>72</v>
      </c>
    </row>
    <row r="44" spans="2:6" x14ac:dyDescent="0.3">
      <c r="B44" t="s">
        <v>6</v>
      </c>
      <c r="C44" t="s">
        <v>38</v>
      </c>
      <c r="D44" t="s">
        <v>27</v>
      </c>
      <c r="E44" s="4">
        <v>1134</v>
      </c>
      <c r="F44" s="5">
        <v>282</v>
      </c>
    </row>
    <row r="45" spans="2:6" x14ac:dyDescent="0.3">
      <c r="B45" t="s">
        <v>2</v>
      </c>
      <c r="C45" t="s">
        <v>39</v>
      </c>
      <c r="D45" t="s">
        <v>28</v>
      </c>
      <c r="E45" s="4">
        <v>6027</v>
      </c>
      <c r="F45" s="5">
        <v>144</v>
      </c>
    </row>
    <row r="46" spans="2:6" x14ac:dyDescent="0.3">
      <c r="B46" t="s">
        <v>6</v>
      </c>
      <c r="C46" t="s">
        <v>37</v>
      </c>
      <c r="D46" t="s">
        <v>16</v>
      </c>
      <c r="E46" s="4">
        <v>1904</v>
      </c>
      <c r="F46" s="5">
        <v>405</v>
      </c>
    </row>
    <row r="47" spans="2:6" x14ac:dyDescent="0.3">
      <c r="B47" t="s">
        <v>7</v>
      </c>
      <c r="C47" t="s">
        <v>34</v>
      </c>
      <c r="D47" t="s">
        <v>32</v>
      </c>
      <c r="E47" s="4">
        <v>3262</v>
      </c>
      <c r="F47" s="5">
        <v>75</v>
      </c>
    </row>
    <row r="48" spans="2:6" x14ac:dyDescent="0.3">
      <c r="B48" t="s">
        <v>40</v>
      </c>
      <c r="C48" t="s">
        <v>34</v>
      </c>
      <c r="D48" t="s">
        <v>27</v>
      </c>
      <c r="E48" s="4">
        <v>2289</v>
      </c>
      <c r="F48" s="5">
        <v>135</v>
      </c>
    </row>
    <row r="49" spans="2:6" x14ac:dyDescent="0.3">
      <c r="B49" t="s">
        <v>5</v>
      </c>
      <c r="C49" t="s">
        <v>34</v>
      </c>
      <c r="D49" t="s">
        <v>27</v>
      </c>
      <c r="E49" s="4">
        <v>6986</v>
      </c>
      <c r="F49" s="5">
        <v>21</v>
      </c>
    </row>
    <row r="50" spans="2:6" x14ac:dyDescent="0.3">
      <c r="B50" t="s">
        <v>2</v>
      </c>
      <c r="C50" t="s">
        <v>38</v>
      </c>
      <c r="D50" t="s">
        <v>23</v>
      </c>
      <c r="E50" s="4">
        <v>4417</v>
      </c>
      <c r="F50" s="5">
        <v>153</v>
      </c>
    </row>
    <row r="51" spans="2:6" x14ac:dyDescent="0.3">
      <c r="B51" t="s">
        <v>6</v>
      </c>
      <c r="C51" t="s">
        <v>34</v>
      </c>
      <c r="D51" t="s">
        <v>15</v>
      </c>
      <c r="E51" s="4">
        <v>1442</v>
      </c>
      <c r="F51" s="5">
        <v>15</v>
      </c>
    </row>
    <row r="52" spans="2:6" x14ac:dyDescent="0.3">
      <c r="B52" t="s">
        <v>3</v>
      </c>
      <c r="C52" t="s">
        <v>35</v>
      </c>
      <c r="D52" t="s">
        <v>14</v>
      </c>
      <c r="E52" s="4">
        <v>2415</v>
      </c>
      <c r="F52" s="5">
        <v>255</v>
      </c>
    </row>
    <row r="53" spans="2:6" x14ac:dyDescent="0.3">
      <c r="B53" t="s">
        <v>2</v>
      </c>
      <c r="C53" t="s">
        <v>37</v>
      </c>
      <c r="D53" t="s">
        <v>19</v>
      </c>
      <c r="E53" s="4">
        <v>238</v>
      </c>
      <c r="F53" s="5">
        <v>18</v>
      </c>
    </row>
    <row r="54" spans="2:6" x14ac:dyDescent="0.3">
      <c r="B54" t="s">
        <v>6</v>
      </c>
      <c r="C54" t="s">
        <v>37</v>
      </c>
      <c r="D54" t="s">
        <v>23</v>
      </c>
      <c r="E54" s="4">
        <v>4949</v>
      </c>
      <c r="F54" s="5">
        <v>189</v>
      </c>
    </row>
    <row r="55" spans="2:6" x14ac:dyDescent="0.3">
      <c r="B55" t="s">
        <v>5</v>
      </c>
      <c r="C55" t="s">
        <v>38</v>
      </c>
      <c r="D55" t="s">
        <v>32</v>
      </c>
      <c r="E55" s="4">
        <v>5075</v>
      </c>
      <c r="F55" s="5">
        <v>21</v>
      </c>
    </row>
    <row r="56" spans="2:6" x14ac:dyDescent="0.3">
      <c r="B56" t="s">
        <v>3</v>
      </c>
      <c r="C56" t="s">
        <v>36</v>
      </c>
      <c r="D56" t="s">
        <v>16</v>
      </c>
      <c r="E56" s="4">
        <v>9198</v>
      </c>
      <c r="F56" s="5">
        <v>36</v>
      </c>
    </row>
    <row r="57" spans="2:6" x14ac:dyDescent="0.3">
      <c r="B57" t="s">
        <v>6</v>
      </c>
      <c r="C57" t="s">
        <v>34</v>
      </c>
      <c r="D57" t="s">
        <v>29</v>
      </c>
      <c r="E57" s="4">
        <v>3339</v>
      </c>
      <c r="F57" s="5">
        <v>75</v>
      </c>
    </row>
    <row r="58" spans="2:6" x14ac:dyDescent="0.3">
      <c r="B58" t="s">
        <v>40</v>
      </c>
      <c r="C58" t="s">
        <v>34</v>
      </c>
      <c r="D58" t="s">
        <v>17</v>
      </c>
      <c r="E58" s="4">
        <v>5019</v>
      </c>
      <c r="F58" s="5">
        <v>156</v>
      </c>
    </row>
    <row r="59" spans="2:6" x14ac:dyDescent="0.3">
      <c r="B59" t="s">
        <v>5</v>
      </c>
      <c r="C59" t="s">
        <v>36</v>
      </c>
      <c r="D59" t="s">
        <v>16</v>
      </c>
      <c r="E59" s="4">
        <v>16184</v>
      </c>
      <c r="F59" s="5">
        <v>39</v>
      </c>
    </row>
    <row r="60" spans="2:6" x14ac:dyDescent="0.3">
      <c r="B60" t="s">
        <v>6</v>
      </c>
      <c r="C60" t="s">
        <v>36</v>
      </c>
      <c r="D60" t="s">
        <v>21</v>
      </c>
      <c r="E60" s="4">
        <v>497</v>
      </c>
      <c r="F60" s="5">
        <v>63</v>
      </c>
    </row>
    <row r="61" spans="2:6" x14ac:dyDescent="0.3">
      <c r="B61" t="s">
        <v>2</v>
      </c>
      <c r="C61" t="s">
        <v>36</v>
      </c>
      <c r="D61" t="s">
        <v>29</v>
      </c>
      <c r="E61" s="4">
        <v>8211</v>
      </c>
      <c r="F61" s="5">
        <v>75</v>
      </c>
    </row>
    <row r="62" spans="2:6" x14ac:dyDescent="0.3">
      <c r="B62" t="s">
        <v>2</v>
      </c>
      <c r="C62" t="s">
        <v>38</v>
      </c>
      <c r="D62" t="s">
        <v>28</v>
      </c>
      <c r="E62" s="4">
        <v>6580</v>
      </c>
      <c r="F62" s="5">
        <v>183</v>
      </c>
    </row>
    <row r="63" spans="2:6" x14ac:dyDescent="0.3">
      <c r="B63" t="s">
        <v>41</v>
      </c>
      <c r="C63" t="s">
        <v>35</v>
      </c>
      <c r="D63" t="s">
        <v>13</v>
      </c>
      <c r="E63" s="4">
        <v>4760</v>
      </c>
      <c r="F63" s="5">
        <v>69</v>
      </c>
    </row>
    <row r="64" spans="2:6" x14ac:dyDescent="0.3">
      <c r="B64" t="s">
        <v>40</v>
      </c>
      <c r="C64" t="s">
        <v>36</v>
      </c>
      <c r="D64" t="s">
        <v>25</v>
      </c>
      <c r="E64" s="4">
        <v>5439</v>
      </c>
      <c r="F64" s="5">
        <v>30</v>
      </c>
    </row>
    <row r="65" spans="2:6" x14ac:dyDescent="0.3">
      <c r="B65" t="s">
        <v>41</v>
      </c>
      <c r="C65" t="s">
        <v>34</v>
      </c>
      <c r="D65" t="s">
        <v>17</v>
      </c>
      <c r="E65" s="4">
        <v>1463</v>
      </c>
      <c r="F65" s="5">
        <v>39</v>
      </c>
    </row>
    <row r="66" spans="2:6" x14ac:dyDescent="0.3">
      <c r="B66" t="s">
        <v>3</v>
      </c>
      <c r="C66" t="s">
        <v>34</v>
      </c>
      <c r="D66" t="s">
        <v>32</v>
      </c>
      <c r="E66" s="4">
        <v>7777</v>
      </c>
      <c r="F66" s="5">
        <v>504</v>
      </c>
    </row>
    <row r="67" spans="2:6" x14ac:dyDescent="0.3">
      <c r="B67" t="s">
        <v>9</v>
      </c>
      <c r="C67" t="s">
        <v>37</v>
      </c>
      <c r="D67" t="s">
        <v>29</v>
      </c>
      <c r="E67" s="4">
        <v>1085</v>
      </c>
      <c r="F67" s="5">
        <v>273</v>
      </c>
    </row>
    <row r="68" spans="2:6" x14ac:dyDescent="0.3">
      <c r="B68" t="s">
        <v>5</v>
      </c>
      <c r="C68" t="s">
        <v>37</v>
      </c>
      <c r="D68" t="s">
        <v>31</v>
      </c>
      <c r="E68" s="4">
        <v>182</v>
      </c>
      <c r="F68" s="5">
        <v>48</v>
      </c>
    </row>
    <row r="69" spans="2:6" x14ac:dyDescent="0.3">
      <c r="B69" t="s">
        <v>6</v>
      </c>
      <c r="C69" t="s">
        <v>34</v>
      </c>
      <c r="D69" t="s">
        <v>27</v>
      </c>
      <c r="E69" s="4">
        <v>4242</v>
      </c>
      <c r="F69" s="5">
        <v>207</v>
      </c>
    </row>
    <row r="70" spans="2:6" x14ac:dyDescent="0.3">
      <c r="B70" t="s">
        <v>6</v>
      </c>
      <c r="C70" t="s">
        <v>36</v>
      </c>
      <c r="D70" t="s">
        <v>32</v>
      </c>
      <c r="E70" s="4">
        <v>6118</v>
      </c>
      <c r="F70" s="5">
        <v>9</v>
      </c>
    </row>
    <row r="71" spans="2:6" x14ac:dyDescent="0.3">
      <c r="B71" t="s">
        <v>10</v>
      </c>
      <c r="C71" t="s">
        <v>36</v>
      </c>
      <c r="D71" t="s">
        <v>23</v>
      </c>
      <c r="E71" s="4">
        <v>2317</v>
      </c>
      <c r="F71" s="5">
        <v>261</v>
      </c>
    </row>
    <row r="72" spans="2:6" x14ac:dyDescent="0.3">
      <c r="B72" t="s">
        <v>6</v>
      </c>
      <c r="C72" t="s">
        <v>38</v>
      </c>
      <c r="D72" t="s">
        <v>16</v>
      </c>
      <c r="E72" s="4">
        <v>938</v>
      </c>
      <c r="F72" s="5">
        <v>6</v>
      </c>
    </row>
    <row r="73" spans="2:6" x14ac:dyDescent="0.3">
      <c r="B73" t="s">
        <v>8</v>
      </c>
      <c r="C73" t="s">
        <v>37</v>
      </c>
      <c r="D73" t="s">
        <v>15</v>
      </c>
      <c r="E73" s="4">
        <v>9709</v>
      </c>
      <c r="F73" s="5">
        <v>30</v>
      </c>
    </row>
    <row r="74" spans="2:6" x14ac:dyDescent="0.3">
      <c r="B74" t="s">
        <v>7</v>
      </c>
      <c r="C74" t="s">
        <v>34</v>
      </c>
      <c r="D74" t="s">
        <v>20</v>
      </c>
      <c r="E74" s="4">
        <v>2205</v>
      </c>
      <c r="F74" s="5">
        <v>138</v>
      </c>
    </row>
    <row r="75" spans="2:6" x14ac:dyDescent="0.3">
      <c r="B75" t="s">
        <v>7</v>
      </c>
      <c r="C75" t="s">
        <v>37</v>
      </c>
      <c r="D75" t="s">
        <v>17</v>
      </c>
      <c r="E75" s="4">
        <v>4487</v>
      </c>
      <c r="F75" s="5">
        <v>111</v>
      </c>
    </row>
    <row r="76" spans="2:6" x14ac:dyDescent="0.3">
      <c r="B76" t="s">
        <v>5</v>
      </c>
      <c r="C76" t="s">
        <v>35</v>
      </c>
      <c r="D76" t="s">
        <v>18</v>
      </c>
      <c r="E76" s="4">
        <v>2415</v>
      </c>
      <c r="F76" s="5">
        <v>15</v>
      </c>
    </row>
    <row r="77" spans="2:6" x14ac:dyDescent="0.3">
      <c r="B77" t="s">
        <v>40</v>
      </c>
      <c r="C77" t="s">
        <v>34</v>
      </c>
      <c r="D77" t="s">
        <v>19</v>
      </c>
      <c r="E77" s="4">
        <v>4018</v>
      </c>
      <c r="F77" s="5">
        <v>162</v>
      </c>
    </row>
    <row r="78" spans="2:6" x14ac:dyDescent="0.3">
      <c r="B78" t="s">
        <v>5</v>
      </c>
      <c r="C78" t="s">
        <v>34</v>
      </c>
      <c r="D78" t="s">
        <v>19</v>
      </c>
      <c r="E78" s="4">
        <v>861</v>
      </c>
      <c r="F78" s="5">
        <v>195</v>
      </c>
    </row>
    <row r="79" spans="2:6" x14ac:dyDescent="0.3">
      <c r="B79" t="s">
        <v>10</v>
      </c>
      <c r="C79" t="s">
        <v>38</v>
      </c>
      <c r="D79" t="s">
        <v>14</v>
      </c>
      <c r="E79" s="4">
        <v>5586</v>
      </c>
      <c r="F79" s="5">
        <v>525</v>
      </c>
    </row>
    <row r="80" spans="2:6" x14ac:dyDescent="0.3">
      <c r="B80" t="s">
        <v>7</v>
      </c>
      <c r="C80" t="s">
        <v>34</v>
      </c>
      <c r="D80" t="s">
        <v>33</v>
      </c>
      <c r="E80" s="4">
        <v>2226</v>
      </c>
      <c r="F80" s="5">
        <v>48</v>
      </c>
    </row>
    <row r="81" spans="2:6" x14ac:dyDescent="0.3">
      <c r="B81" t="s">
        <v>9</v>
      </c>
      <c r="C81" t="s">
        <v>34</v>
      </c>
      <c r="D81" t="s">
        <v>28</v>
      </c>
      <c r="E81" s="4">
        <v>14329</v>
      </c>
      <c r="F81" s="5">
        <v>150</v>
      </c>
    </row>
    <row r="82" spans="2:6" x14ac:dyDescent="0.3">
      <c r="B82" t="s">
        <v>9</v>
      </c>
      <c r="C82" t="s">
        <v>34</v>
      </c>
      <c r="D82" t="s">
        <v>20</v>
      </c>
      <c r="E82" s="4">
        <v>8463</v>
      </c>
      <c r="F82" s="5">
        <v>492</v>
      </c>
    </row>
    <row r="83" spans="2:6" x14ac:dyDescent="0.3">
      <c r="B83" t="s">
        <v>5</v>
      </c>
      <c r="C83" t="s">
        <v>34</v>
      </c>
      <c r="D83" t="s">
        <v>29</v>
      </c>
      <c r="E83" s="4">
        <v>2891</v>
      </c>
      <c r="F83" s="5">
        <v>102</v>
      </c>
    </row>
    <row r="84" spans="2:6" x14ac:dyDescent="0.3">
      <c r="B84" t="s">
        <v>3</v>
      </c>
      <c r="C84" t="s">
        <v>36</v>
      </c>
      <c r="D84" t="s">
        <v>23</v>
      </c>
      <c r="E84" s="4">
        <v>3773</v>
      </c>
      <c r="F84" s="5">
        <v>165</v>
      </c>
    </row>
    <row r="85" spans="2:6" x14ac:dyDescent="0.3">
      <c r="B85" t="s">
        <v>41</v>
      </c>
      <c r="C85" t="s">
        <v>36</v>
      </c>
      <c r="D85" t="s">
        <v>28</v>
      </c>
      <c r="E85" s="4">
        <v>854</v>
      </c>
      <c r="F85" s="5">
        <v>309</v>
      </c>
    </row>
    <row r="86" spans="2:6" x14ac:dyDescent="0.3">
      <c r="B86" t="s">
        <v>6</v>
      </c>
      <c r="C86" t="s">
        <v>36</v>
      </c>
      <c r="D86" t="s">
        <v>17</v>
      </c>
      <c r="E86" s="4">
        <v>4970</v>
      </c>
      <c r="F86" s="5">
        <v>156</v>
      </c>
    </row>
    <row r="87" spans="2:6" x14ac:dyDescent="0.3">
      <c r="B87" t="s">
        <v>9</v>
      </c>
      <c r="C87" t="s">
        <v>35</v>
      </c>
      <c r="D87" t="s">
        <v>26</v>
      </c>
      <c r="E87" s="4">
        <v>98</v>
      </c>
      <c r="F87" s="5">
        <v>159</v>
      </c>
    </row>
    <row r="88" spans="2:6" x14ac:dyDescent="0.3">
      <c r="B88" t="s">
        <v>5</v>
      </c>
      <c r="C88" t="s">
        <v>35</v>
      </c>
      <c r="D88" t="s">
        <v>15</v>
      </c>
      <c r="E88" s="4">
        <v>13391</v>
      </c>
      <c r="F88" s="5">
        <v>201</v>
      </c>
    </row>
    <row r="89" spans="2:6" x14ac:dyDescent="0.3">
      <c r="B89" t="s">
        <v>8</v>
      </c>
      <c r="C89" t="s">
        <v>39</v>
      </c>
      <c r="D89" t="s">
        <v>31</v>
      </c>
      <c r="E89" s="4">
        <v>8890</v>
      </c>
      <c r="F89" s="5">
        <v>210</v>
      </c>
    </row>
    <row r="90" spans="2:6" x14ac:dyDescent="0.3">
      <c r="B90" t="s">
        <v>2</v>
      </c>
      <c r="C90" t="s">
        <v>38</v>
      </c>
      <c r="D90" t="s">
        <v>13</v>
      </c>
      <c r="E90" s="4">
        <v>56</v>
      </c>
      <c r="F90" s="5">
        <v>51</v>
      </c>
    </row>
    <row r="91" spans="2:6" x14ac:dyDescent="0.3">
      <c r="B91" t="s">
        <v>3</v>
      </c>
      <c r="C91" t="s">
        <v>36</v>
      </c>
      <c r="D91" t="s">
        <v>25</v>
      </c>
      <c r="E91" s="4">
        <v>3339</v>
      </c>
      <c r="F91" s="5">
        <v>39</v>
      </c>
    </row>
    <row r="92" spans="2:6" x14ac:dyDescent="0.3">
      <c r="B92" t="s">
        <v>10</v>
      </c>
      <c r="C92" t="s">
        <v>35</v>
      </c>
      <c r="D92" t="s">
        <v>18</v>
      </c>
      <c r="E92" s="4">
        <v>3808</v>
      </c>
      <c r="F92" s="5">
        <v>279</v>
      </c>
    </row>
    <row r="93" spans="2:6" x14ac:dyDescent="0.3">
      <c r="B93" t="s">
        <v>10</v>
      </c>
      <c r="C93" t="s">
        <v>38</v>
      </c>
      <c r="D93" t="s">
        <v>13</v>
      </c>
      <c r="E93" s="4">
        <v>63</v>
      </c>
      <c r="F93" s="5">
        <v>123</v>
      </c>
    </row>
    <row r="94" spans="2:6" x14ac:dyDescent="0.3">
      <c r="B94" t="s">
        <v>2</v>
      </c>
      <c r="C94" t="s">
        <v>39</v>
      </c>
      <c r="D94" t="s">
        <v>27</v>
      </c>
      <c r="E94" s="4">
        <v>7812</v>
      </c>
      <c r="F94" s="5">
        <v>81</v>
      </c>
    </row>
    <row r="95" spans="2:6" x14ac:dyDescent="0.3">
      <c r="B95" t="s">
        <v>40</v>
      </c>
      <c r="C95" t="s">
        <v>37</v>
      </c>
      <c r="D95" t="s">
        <v>19</v>
      </c>
      <c r="E95" s="4">
        <v>7693</v>
      </c>
      <c r="F95" s="5">
        <v>21</v>
      </c>
    </row>
    <row r="96" spans="2:6" x14ac:dyDescent="0.3">
      <c r="B96" t="s">
        <v>3</v>
      </c>
      <c r="C96" t="s">
        <v>36</v>
      </c>
      <c r="D96" t="s">
        <v>28</v>
      </c>
      <c r="E96" s="4">
        <v>973</v>
      </c>
      <c r="F96" s="5">
        <v>162</v>
      </c>
    </row>
    <row r="97" spans="2:6" x14ac:dyDescent="0.3">
      <c r="B97" t="s">
        <v>10</v>
      </c>
      <c r="C97" t="s">
        <v>35</v>
      </c>
      <c r="D97" t="s">
        <v>21</v>
      </c>
      <c r="E97" s="4">
        <v>567</v>
      </c>
      <c r="F97" s="5">
        <v>228</v>
      </c>
    </row>
    <row r="98" spans="2:6" x14ac:dyDescent="0.3">
      <c r="B98" t="s">
        <v>10</v>
      </c>
      <c r="C98" t="s">
        <v>36</v>
      </c>
      <c r="D98" t="s">
        <v>29</v>
      </c>
      <c r="E98" s="4">
        <v>2471</v>
      </c>
      <c r="F98" s="5">
        <v>342</v>
      </c>
    </row>
    <row r="99" spans="2:6" x14ac:dyDescent="0.3">
      <c r="B99" t="s">
        <v>5</v>
      </c>
      <c r="C99" t="s">
        <v>38</v>
      </c>
      <c r="D99" t="s">
        <v>13</v>
      </c>
      <c r="E99" s="4">
        <v>7189</v>
      </c>
      <c r="F99" s="5">
        <v>54</v>
      </c>
    </row>
    <row r="100" spans="2:6" x14ac:dyDescent="0.3">
      <c r="B100" t="s">
        <v>41</v>
      </c>
      <c r="C100" t="s">
        <v>35</v>
      </c>
      <c r="D100" t="s">
        <v>28</v>
      </c>
      <c r="E100" s="4">
        <v>7455</v>
      </c>
      <c r="F100" s="5">
        <v>216</v>
      </c>
    </row>
    <row r="101" spans="2:6" x14ac:dyDescent="0.3">
      <c r="B101" t="s">
        <v>3</v>
      </c>
      <c r="C101" t="s">
        <v>34</v>
      </c>
      <c r="D101" t="s">
        <v>26</v>
      </c>
      <c r="E101" s="4">
        <v>3108</v>
      </c>
      <c r="F101" s="5">
        <v>54</v>
      </c>
    </row>
    <row r="102" spans="2:6" x14ac:dyDescent="0.3">
      <c r="B102" t="s">
        <v>6</v>
      </c>
      <c r="C102" t="s">
        <v>38</v>
      </c>
      <c r="D102" t="s">
        <v>25</v>
      </c>
      <c r="E102" s="4">
        <v>469</v>
      </c>
      <c r="F102" s="5">
        <v>75</v>
      </c>
    </row>
    <row r="103" spans="2:6" x14ac:dyDescent="0.3">
      <c r="B103" t="s">
        <v>9</v>
      </c>
      <c r="C103" t="s">
        <v>37</v>
      </c>
      <c r="D103" t="s">
        <v>23</v>
      </c>
      <c r="E103" s="4">
        <v>2737</v>
      </c>
      <c r="F103" s="5">
        <v>93</v>
      </c>
    </row>
    <row r="104" spans="2:6" x14ac:dyDescent="0.3">
      <c r="B104" t="s">
        <v>9</v>
      </c>
      <c r="C104" t="s">
        <v>37</v>
      </c>
      <c r="D104" t="s">
        <v>25</v>
      </c>
      <c r="E104" s="4">
        <v>4305</v>
      </c>
      <c r="F104" s="5">
        <v>156</v>
      </c>
    </row>
    <row r="105" spans="2:6" x14ac:dyDescent="0.3">
      <c r="B105" t="s">
        <v>9</v>
      </c>
      <c r="C105" t="s">
        <v>38</v>
      </c>
      <c r="D105" t="s">
        <v>17</v>
      </c>
      <c r="E105" s="4">
        <v>2408</v>
      </c>
      <c r="F105" s="5">
        <v>9</v>
      </c>
    </row>
    <row r="106" spans="2:6" x14ac:dyDescent="0.3">
      <c r="B106" t="s">
        <v>3</v>
      </c>
      <c r="C106" t="s">
        <v>36</v>
      </c>
      <c r="D106" t="s">
        <v>19</v>
      </c>
      <c r="E106" s="4">
        <v>1281</v>
      </c>
      <c r="F106" s="5">
        <v>18</v>
      </c>
    </row>
    <row r="107" spans="2:6" x14ac:dyDescent="0.3">
      <c r="B107" t="s">
        <v>40</v>
      </c>
      <c r="C107" t="s">
        <v>35</v>
      </c>
      <c r="D107" t="s">
        <v>32</v>
      </c>
      <c r="E107" s="4">
        <v>12348</v>
      </c>
      <c r="F107" s="5">
        <v>234</v>
      </c>
    </row>
    <row r="108" spans="2:6" x14ac:dyDescent="0.3">
      <c r="B108" t="s">
        <v>3</v>
      </c>
      <c r="C108" t="s">
        <v>34</v>
      </c>
      <c r="D108" t="s">
        <v>28</v>
      </c>
      <c r="E108" s="4">
        <v>3689</v>
      </c>
      <c r="F108" s="5">
        <v>312</v>
      </c>
    </row>
    <row r="109" spans="2:6" x14ac:dyDescent="0.3">
      <c r="B109" t="s">
        <v>7</v>
      </c>
      <c r="C109" t="s">
        <v>36</v>
      </c>
      <c r="D109" t="s">
        <v>19</v>
      </c>
      <c r="E109" s="4">
        <v>2870</v>
      </c>
      <c r="F109" s="5">
        <v>300</v>
      </c>
    </row>
    <row r="110" spans="2:6" x14ac:dyDescent="0.3">
      <c r="B110" t="s">
        <v>2</v>
      </c>
      <c r="C110" t="s">
        <v>36</v>
      </c>
      <c r="D110" t="s">
        <v>27</v>
      </c>
      <c r="E110" s="4">
        <v>798</v>
      </c>
      <c r="F110" s="5">
        <v>519</v>
      </c>
    </row>
    <row r="111" spans="2:6" x14ac:dyDescent="0.3">
      <c r="B111" t="s">
        <v>41</v>
      </c>
      <c r="C111" t="s">
        <v>37</v>
      </c>
      <c r="D111" t="s">
        <v>21</v>
      </c>
      <c r="E111" s="4">
        <v>2933</v>
      </c>
      <c r="F111" s="5">
        <v>9</v>
      </c>
    </row>
    <row r="112" spans="2:6" x14ac:dyDescent="0.3">
      <c r="B112" t="s">
        <v>5</v>
      </c>
      <c r="C112" t="s">
        <v>35</v>
      </c>
      <c r="D112" t="s">
        <v>4</v>
      </c>
      <c r="E112" s="4">
        <v>2744</v>
      </c>
      <c r="F112" s="5">
        <v>9</v>
      </c>
    </row>
    <row r="113" spans="2:6" x14ac:dyDescent="0.3">
      <c r="B113" t="s">
        <v>40</v>
      </c>
      <c r="C113" t="s">
        <v>36</v>
      </c>
      <c r="D113" t="s">
        <v>33</v>
      </c>
      <c r="E113" s="4">
        <v>9772</v>
      </c>
      <c r="F113" s="5">
        <v>90</v>
      </c>
    </row>
    <row r="114" spans="2:6" x14ac:dyDescent="0.3">
      <c r="B114" t="s">
        <v>7</v>
      </c>
      <c r="C114" t="s">
        <v>34</v>
      </c>
      <c r="D114" t="s">
        <v>25</v>
      </c>
      <c r="E114" s="4">
        <v>1568</v>
      </c>
      <c r="F114" s="5">
        <v>96</v>
      </c>
    </row>
    <row r="115" spans="2:6" x14ac:dyDescent="0.3">
      <c r="B115" t="s">
        <v>2</v>
      </c>
      <c r="C115" t="s">
        <v>36</v>
      </c>
      <c r="D115" t="s">
        <v>16</v>
      </c>
      <c r="E115" s="4">
        <v>11417</v>
      </c>
      <c r="F115" s="5">
        <v>21</v>
      </c>
    </row>
    <row r="116" spans="2:6" x14ac:dyDescent="0.3">
      <c r="B116" t="s">
        <v>40</v>
      </c>
      <c r="C116" t="s">
        <v>34</v>
      </c>
      <c r="D116" t="s">
        <v>26</v>
      </c>
      <c r="E116" s="4">
        <v>6748</v>
      </c>
      <c r="F116" s="5">
        <v>48</v>
      </c>
    </row>
    <row r="117" spans="2:6" x14ac:dyDescent="0.3">
      <c r="B117" t="s">
        <v>10</v>
      </c>
      <c r="C117" t="s">
        <v>36</v>
      </c>
      <c r="D117" t="s">
        <v>27</v>
      </c>
      <c r="E117" s="4">
        <v>1407</v>
      </c>
      <c r="F117" s="5">
        <v>72</v>
      </c>
    </row>
    <row r="118" spans="2:6" x14ac:dyDescent="0.3">
      <c r="B118" t="s">
        <v>8</v>
      </c>
      <c r="C118" t="s">
        <v>35</v>
      </c>
      <c r="D118" t="s">
        <v>29</v>
      </c>
      <c r="E118" s="4">
        <v>2023</v>
      </c>
      <c r="F118" s="5">
        <v>168</v>
      </c>
    </row>
    <row r="119" spans="2:6" x14ac:dyDescent="0.3">
      <c r="B119" t="s">
        <v>5</v>
      </c>
      <c r="C119" t="s">
        <v>39</v>
      </c>
      <c r="D119" t="s">
        <v>26</v>
      </c>
      <c r="E119" s="4">
        <v>5236</v>
      </c>
      <c r="F119" s="5">
        <v>51</v>
      </c>
    </row>
    <row r="120" spans="2:6" x14ac:dyDescent="0.3">
      <c r="B120" t="s">
        <v>41</v>
      </c>
      <c r="C120" t="s">
        <v>36</v>
      </c>
      <c r="D120" t="s">
        <v>19</v>
      </c>
      <c r="E120" s="4">
        <v>1925</v>
      </c>
      <c r="F120" s="5">
        <v>192</v>
      </c>
    </row>
    <row r="121" spans="2:6" x14ac:dyDescent="0.3">
      <c r="B121" t="s">
        <v>7</v>
      </c>
      <c r="C121" t="s">
        <v>37</v>
      </c>
      <c r="D121" t="s">
        <v>14</v>
      </c>
      <c r="E121" s="4">
        <v>6608</v>
      </c>
      <c r="F121" s="5">
        <v>225</v>
      </c>
    </row>
    <row r="122" spans="2:6" x14ac:dyDescent="0.3">
      <c r="B122" t="s">
        <v>6</v>
      </c>
      <c r="C122" t="s">
        <v>34</v>
      </c>
      <c r="D122" t="s">
        <v>26</v>
      </c>
      <c r="E122" s="4">
        <v>8008</v>
      </c>
      <c r="F122" s="5">
        <v>456</v>
      </c>
    </row>
    <row r="123" spans="2:6" x14ac:dyDescent="0.3">
      <c r="B123" t="s">
        <v>10</v>
      </c>
      <c r="C123" t="s">
        <v>34</v>
      </c>
      <c r="D123" t="s">
        <v>25</v>
      </c>
      <c r="E123" s="4">
        <v>1428</v>
      </c>
      <c r="F123" s="5">
        <v>93</v>
      </c>
    </row>
    <row r="124" spans="2:6" x14ac:dyDescent="0.3">
      <c r="B124" t="s">
        <v>6</v>
      </c>
      <c r="C124" t="s">
        <v>34</v>
      </c>
      <c r="D124" t="s">
        <v>4</v>
      </c>
      <c r="E124" s="4">
        <v>525</v>
      </c>
      <c r="F124" s="5">
        <v>48</v>
      </c>
    </row>
    <row r="125" spans="2:6" x14ac:dyDescent="0.3">
      <c r="B125" t="s">
        <v>6</v>
      </c>
      <c r="C125" t="s">
        <v>37</v>
      </c>
      <c r="D125" t="s">
        <v>18</v>
      </c>
      <c r="E125" s="4">
        <v>1505</v>
      </c>
      <c r="F125" s="5">
        <v>102</v>
      </c>
    </row>
    <row r="126" spans="2:6" x14ac:dyDescent="0.3">
      <c r="B126" t="s">
        <v>7</v>
      </c>
      <c r="C126" t="s">
        <v>35</v>
      </c>
      <c r="D126" t="s">
        <v>30</v>
      </c>
      <c r="E126" s="4">
        <v>6755</v>
      </c>
      <c r="F126" s="5">
        <v>252</v>
      </c>
    </row>
    <row r="127" spans="2:6" x14ac:dyDescent="0.3">
      <c r="B127" t="s">
        <v>2</v>
      </c>
      <c r="C127" t="s">
        <v>37</v>
      </c>
      <c r="D127" t="s">
        <v>18</v>
      </c>
      <c r="E127" s="4">
        <v>11571</v>
      </c>
      <c r="F127" s="5">
        <v>138</v>
      </c>
    </row>
    <row r="128" spans="2:6" x14ac:dyDescent="0.3">
      <c r="B128" t="s">
        <v>40</v>
      </c>
      <c r="C128" t="s">
        <v>38</v>
      </c>
      <c r="D128" t="s">
        <v>25</v>
      </c>
      <c r="E128" s="4">
        <v>2541</v>
      </c>
      <c r="F128" s="5">
        <v>90</v>
      </c>
    </row>
    <row r="129" spans="2:6" x14ac:dyDescent="0.3">
      <c r="B129" t="s">
        <v>41</v>
      </c>
      <c r="C129" t="s">
        <v>37</v>
      </c>
      <c r="D129" t="s">
        <v>30</v>
      </c>
      <c r="E129" s="4">
        <v>1526</v>
      </c>
      <c r="F129" s="5">
        <v>240</v>
      </c>
    </row>
    <row r="130" spans="2:6" x14ac:dyDescent="0.3">
      <c r="B130" t="s">
        <v>40</v>
      </c>
      <c r="C130" t="s">
        <v>38</v>
      </c>
      <c r="D130" t="s">
        <v>4</v>
      </c>
      <c r="E130" s="4">
        <v>6125</v>
      </c>
      <c r="F130" s="5">
        <v>102</v>
      </c>
    </row>
    <row r="131" spans="2:6" x14ac:dyDescent="0.3">
      <c r="B131" t="s">
        <v>41</v>
      </c>
      <c r="C131" t="s">
        <v>35</v>
      </c>
      <c r="D131" t="s">
        <v>27</v>
      </c>
      <c r="E131" s="4">
        <v>847</v>
      </c>
      <c r="F131" s="5">
        <v>129</v>
      </c>
    </row>
    <row r="132" spans="2:6" x14ac:dyDescent="0.3">
      <c r="B132" t="s">
        <v>8</v>
      </c>
      <c r="C132" t="s">
        <v>35</v>
      </c>
      <c r="D132" t="s">
        <v>27</v>
      </c>
      <c r="E132" s="4">
        <v>4753</v>
      </c>
      <c r="F132" s="5">
        <v>300</v>
      </c>
    </row>
    <row r="133" spans="2:6" x14ac:dyDescent="0.3">
      <c r="B133" t="s">
        <v>6</v>
      </c>
      <c r="C133" t="s">
        <v>38</v>
      </c>
      <c r="D133" t="s">
        <v>33</v>
      </c>
      <c r="E133" s="4">
        <v>959</v>
      </c>
      <c r="F133" s="5">
        <v>135</v>
      </c>
    </row>
    <row r="134" spans="2:6" x14ac:dyDescent="0.3">
      <c r="B134" t="s">
        <v>7</v>
      </c>
      <c r="C134" t="s">
        <v>35</v>
      </c>
      <c r="D134" t="s">
        <v>24</v>
      </c>
      <c r="E134" s="4">
        <v>2793</v>
      </c>
      <c r="F134" s="5">
        <v>114</v>
      </c>
    </row>
    <row r="135" spans="2:6" x14ac:dyDescent="0.3">
      <c r="B135" t="s">
        <v>7</v>
      </c>
      <c r="C135" t="s">
        <v>35</v>
      </c>
      <c r="D135" t="s">
        <v>14</v>
      </c>
      <c r="E135" s="4">
        <v>4606</v>
      </c>
      <c r="F135" s="5">
        <v>63</v>
      </c>
    </row>
    <row r="136" spans="2:6" x14ac:dyDescent="0.3">
      <c r="B136" t="s">
        <v>7</v>
      </c>
      <c r="C136" t="s">
        <v>36</v>
      </c>
      <c r="D136" t="s">
        <v>29</v>
      </c>
      <c r="E136" s="4">
        <v>5551</v>
      </c>
      <c r="F136" s="5">
        <v>252</v>
      </c>
    </row>
    <row r="137" spans="2:6" x14ac:dyDescent="0.3">
      <c r="B137" t="s">
        <v>10</v>
      </c>
      <c r="C137" t="s">
        <v>36</v>
      </c>
      <c r="D137" t="s">
        <v>32</v>
      </c>
      <c r="E137" s="4">
        <v>6657</v>
      </c>
      <c r="F137" s="5">
        <v>303</v>
      </c>
    </row>
    <row r="138" spans="2:6" x14ac:dyDescent="0.3">
      <c r="B138" t="s">
        <v>7</v>
      </c>
      <c r="C138" t="s">
        <v>39</v>
      </c>
      <c r="D138" t="s">
        <v>17</v>
      </c>
      <c r="E138" s="4">
        <v>4438</v>
      </c>
      <c r="F138" s="5">
        <v>246</v>
      </c>
    </row>
    <row r="139" spans="2:6" x14ac:dyDescent="0.3">
      <c r="B139" t="s">
        <v>8</v>
      </c>
      <c r="C139" t="s">
        <v>38</v>
      </c>
      <c r="D139" t="s">
        <v>22</v>
      </c>
      <c r="E139" s="4">
        <v>168</v>
      </c>
      <c r="F139" s="5">
        <v>84</v>
      </c>
    </row>
    <row r="140" spans="2:6" x14ac:dyDescent="0.3">
      <c r="B140" t="s">
        <v>7</v>
      </c>
      <c r="C140" t="s">
        <v>34</v>
      </c>
      <c r="D140" t="s">
        <v>17</v>
      </c>
      <c r="E140" s="4">
        <v>7777</v>
      </c>
      <c r="F140" s="5">
        <v>39</v>
      </c>
    </row>
    <row r="141" spans="2:6" x14ac:dyDescent="0.3">
      <c r="B141" t="s">
        <v>5</v>
      </c>
      <c r="C141" t="s">
        <v>36</v>
      </c>
      <c r="D141" t="s">
        <v>17</v>
      </c>
      <c r="E141" s="4">
        <v>3339</v>
      </c>
      <c r="F141" s="5">
        <v>348</v>
      </c>
    </row>
    <row r="142" spans="2:6" x14ac:dyDescent="0.3">
      <c r="B142" t="s">
        <v>7</v>
      </c>
      <c r="C142" t="s">
        <v>37</v>
      </c>
      <c r="D142" t="s">
        <v>33</v>
      </c>
      <c r="E142" s="4">
        <v>6391</v>
      </c>
      <c r="F142" s="5">
        <v>48</v>
      </c>
    </row>
    <row r="143" spans="2:6" x14ac:dyDescent="0.3">
      <c r="B143" t="s">
        <v>5</v>
      </c>
      <c r="C143" t="s">
        <v>37</v>
      </c>
      <c r="D143" t="s">
        <v>22</v>
      </c>
      <c r="E143" s="4">
        <v>518</v>
      </c>
      <c r="F143" s="5">
        <v>75</v>
      </c>
    </row>
    <row r="144" spans="2:6" x14ac:dyDescent="0.3">
      <c r="B144" t="s">
        <v>7</v>
      </c>
      <c r="C144" t="s">
        <v>38</v>
      </c>
      <c r="D144" t="s">
        <v>28</v>
      </c>
      <c r="E144" s="4">
        <v>5677</v>
      </c>
      <c r="F144" s="5">
        <v>258</v>
      </c>
    </row>
    <row r="145" spans="2:6" x14ac:dyDescent="0.3">
      <c r="B145" t="s">
        <v>6</v>
      </c>
      <c r="C145" t="s">
        <v>39</v>
      </c>
      <c r="D145" t="s">
        <v>17</v>
      </c>
      <c r="E145" s="4">
        <v>6048</v>
      </c>
      <c r="F145" s="5">
        <v>27</v>
      </c>
    </row>
    <row r="146" spans="2:6" x14ac:dyDescent="0.3">
      <c r="B146" t="s">
        <v>8</v>
      </c>
      <c r="C146" t="s">
        <v>38</v>
      </c>
      <c r="D146" t="s">
        <v>32</v>
      </c>
      <c r="E146" s="4">
        <v>3752</v>
      </c>
      <c r="F146" s="5">
        <v>213</v>
      </c>
    </row>
    <row r="147" spans="2:6" x14ac:dyDescent="0.3">
      <c r="B147" t="s">
        <v>5</v>
      </c>
      <c r="C147" t="s">
        <v>35</v>
      </c>
      <c r="D147" t="s">
        <v>29</v>
      </c>
      <c r="E147" s="4">
        <v>4480</v>
      </c>
      <c r="F147" s="5">
        <v>357</v>
      </c>
    </row>
    <row r="148" spans="2:6" x14ac:dyDescent="0.3">
      <c r="B148" t="s">
        <v>9</v>
      </c>
      <c r="C148" t="s">
        <v>37</v>
      </c>
      <c r="D148" t="s">
        <v>4</v>
      </c>
      <c r="E148" s="4">
        <v>259</v>
      </c>
      <c r="F148" s="5">
        <v>207</v>
      </c>
    </row>
    <row r="149" spans="2:6" x14ac:dyDescent="0.3">
      <c r="B149" t="s">
        <v>8</v>
      </c>
      <c r="C149" t="s">
        <v>37</v>
      </c>
      <c r="D149" t="s">
        <v>30</v>
      </c>
      <c r="E149" s="4">
        <v>42</v>
      </c>
      <c r="F149" s="5">
        <v>150</v>
      </c>
    </row>
    <row r="150" spans="2:6" x14ac:dyDescent="0.3">
      <c r="B150" t="s">
        <v>41</v>
      </c>
      <c r="C150" t="s">
        <v>36</v>
      </c>
      <c r="D150" t="s">
        <v>26</v>
      </c>
      <c r="E150" s="4">
        <v>98</v>
      </c>
      <c r="F150" s="5">
        <v>204</v>
      </c>
    </row>
    <row r="151" spans="2:6" x14ac:dyDescent="0.3">
      <c r="B151" t="s">
        <v>7</v>
      </c>
      <c r="C151" t="s">
        <v>35</v>
      </c>
      <c r="D151" t="s">
        <v>27</v>
      </c>
      <c r="E151" s="4">
        <v>2478</v>
      </c>
      <c r="F151" s="5">
        <v>21</v>
      </c>
    </row>
    <row r="152" spans="2:6" x14ac:dyDescent="0.3">
      <c r="B152" t="s">
        <v>41</v>
      </c>
      <c r="C152" t="s">
        <v>34</v>
      </c>
      <c r="D152" t="s">
        <v>33</v>
      </c>
      <c r="E152" s="4">
        <v>7847</v>
      </c>
      <c r="F152" s="5">
        <v>174</v>
      </c>
    </row>
    <row r="153" spans="2:6" x14ac:dyDescent="0.3">
      <c r="B153" t="s">
        <v>2</v>
      </c>
      <c r="C153" t="s">
        <v>37</v>
      </c>
      <c r="D153" t="s">
        <v>17</v>
      </c>
      <c r="E153" s="4">
        <v>9926</v>
      </c>
      <c r="F153" s="5">
        <v>201</v>
      </c>
    </row>
    <row r="154" spans="2:6" x14ac:dyDescent="0.3">
      <c r="B154" t="s">
        <v>8</v>
      </c>
      <c r="C154" t="s">
        <v>38</v>
      </c>
      <c r="D154" t="s">
        <v>13</v>
      </c>
      <c r="E154" s="4">
        <v>819</v>
      </c>
      <c r="F154" s="5">
        <v>510</v>
      </c>
    </row>
    <row r="155" spans="2:6" x14ac:dyDescent="0.3">
      <c r="B155" t="s">
        <v>6</v>
      </c>
      <c r="C155" t="s">
        <v>39</v>
      </c>
      <c r="D155" t="s">
        <v>29</v>
      </c>
      <c r="E155" s="4">
        <v>3052</v>
      </c>
      <c r="F155" s="5">
        <v>378</v>
      </c>
    </row>
    <row r="156" spans="2:6" x14ac:dyDescent="0.3">
      <c r="B156" t="s">
        <v>9</v>
      </c>
      <c r="C156" t="s">
        <v>34</v>
      </c>
      <c r="D156" t="s">
        <v>21</v>
      </c>
      <c r="E156" s="4">
        <v>6832</v>
      </c>
      <c r="F156" s="5">
        <v>27</v>
      </c>
    </row>
    <row r="157" spans="2:6" x14ac:dyDescent="0.3">
      <c r="B157" t="s">
        <v>2</v>
      </c>
      <c r="C157" t="s">
        <v>39</v>
      </c>
      <c r="D157" t="s">
        <v>16</v>
      </c>
      <c r="E157" s="4">
        <v>2016</v>
      </c>
      <c r="F157" s="5">
        <v>117</v>
      </c>
    </row>
    <row r="158" spans="2:6" x14ac:dyDescent="0.3">
      <c r="B158" t="s">
        <v>6</v>
      </c>
      <c r="C158" t="s">
        <v>38</v>
      </c>
      <c r="D158" t="s">
        <v>21</v>
      </c>
      <c r="E158" s="4">
        <v>7322</v>
      </c>
      <c r="F158" s="5">
        <v>36</v>
      </c>
    </row>
    <row r="159" spans="2:6" x14ac:dyDescent="0.3">
      <c r="B159" t="s">
        <v>8</v>
      </c>
      <c r="C159" t="s">
        <v>35</v>
      </c>
      <c r="D159" t="s">
        <v>33</v>
      </c>
      <c r="E159" s="4">
        <v>357</v>
      </c>
      <c r="F159" s="5">
        <v>126</v>
      </c>
    </row>
    <row r="160" spans="2:6" x14ac:dyDescent="0.3">
      <c r="B160" t="s">
        <v>9</v>
      </c>
      <c r="C160" t="s">
        <v>39</v>
      </c>
      <c r="D160" t="s">
        <v>25</v>
      </c>
      <c r="E160" s="4">
        <v>3192</v>
      </c>
      <c r="F160" s="5">
        <v>72</v>
      </c>
    </row>
    <row r="161" spans="2:6" x14ac:dyDescent="0.3">
      <c r="B161" t="s">
        <v>7</v>
      </c>
      <c r="C161" t="s">
        <v>36</v>
      </c>
      <c r="D161" t="s">
        <v>22</v>
      </c>
      <c r="E161" s="4">
        <v>8435</v>
      </c>
      <c r="F161" s="5">
        <v>42</v>
      </c>
    </row>
    <row r="162" spans="2:6" x14ac:dyDescent="0.3">
      <c r="B162" t="s">
        <v>40</v>
      </c>
      <c r="C162" t="s">
        <v>39</v>
      </c>
      <c r="D162" t="s">
        <v>29</v>
      </c>
      <c r="E162" s="4">
        <v>0</v>
      </c>
      <c r="F162" s="5">
        <v>135</v>
      </c>
    </row>
    <row r="163" spans="2:6" x14ac:dyDescent="0.3">
      <c r="B163" t="s">
        <v>7</v>
      </c>
      <c r="C163" t="s">
        <v>34</v>
      </c>
      <c r="D163" t="s">
        <v>24</v>
      </c>
      <c r="E163" s="4">
        <v>8862</v>
      </c>
      <c r="F163" s="5">
        <v>189</v>
      </c>
    </row>
    <row r="164" spans="2:6" x14ac:dyDescent="0.3">
      <c r="B164" t="s">
        <v>6</v>
      </c>
      <c r="C164" t="s">
        <v>37</v>
      </c>
      <c r="D164" t="s">
        <v>28</v>
      </c>
      <c r="E164" s="4">
        <v>3556</v>
      </c>
      <c r="F164" s="5">
        <v>459</v>
      </c>
    </row>
    <row r="165" spans="2:6" x14ac:dyDescent="0.3">
      <c r="B165" t="s">
        <v>5</v>
      </c>
      <c r="C165" t="s">
        <v>34</v>
      </c>
      <c r="D165" t="s">
        <v>15</v>
      </c>
      <c r="E165" s="4">
        <v>7280</v>
      </c>
      <c r="F165" s="5">
        <v>201</v>
      </c>
    </row>
    <row r="166" spans="2:6" x14ac:dyDescent="0.3">
      <c r="B166" t="s">
        <v>6</v>
      </c>
      <c r="C166" t="s">
        <v>34</v>
      </c>
      <c r="D166" t="s">
        <v>30</v>
      </c>
      <c r="E166" s="4">
        <v>3402</v>
      </c>
      <c r="F166" s="5">
        <v>366</v>
      </c>
    </row>
    <row r="167" spans="2:6" x14ac:dyDescent="0.3">
      <c r="B167" t="s">
        <v>3</v>
      </c>
      <c r="C167" t="s">
        <v>37</v>
      </c>
      <c r="D167" t="s">
        <v>29</v>
      </c>
      <c r="E167" s="4">
        <v>4592</v>
      </c>
      <c r="F167" s="5">
        <v>324</v>
      </c>
    </row>
    <row r="168" spans="2:6" x14ac:dyDescent="0.3">
      <c r="B168" t="s">
        <v>9</v>
      </c>
      <c r="C168" t="s">
        <v>35</v>
      </c>
      <c r="D168" t="s">
        <v>15</v>
      </c>
      <c r="E168" s="4">
        <v>7833</v>
      </c>
      <c r="F168" s="5">
        <v>243</v>
      </c>
    </row>
    <row r="169" spans="2:6" x14ac:dyDescent="0.3">
      <c r="B169" t="s">
        <v>2</v>
      </c>
      <c r="C169" t="s">
        <v>39</v>
      </c>
      <c r="D169" t="s">
        <v>21</v>
      </c>
      <c r="E169" s="4">
        <v>7651</v>
      </c>
      <c r="F169" s="5">
        <v>213</v>
      </c>
    </row>
    <row r="170" spans="2:6" x14ac:dyDescent="0.3">
      <c r="B170" t="s">
        <v>40</v>
      </c>
      <c r="C170" t="s">
        <v>35</v>
      </c>
      <c r="D170" t="s">
        <v>30</v>
      </c>
      <c r="E170" s="4">
        <v>2275</v>
      </c>
      <c r="F170" s="5">
        <v>447</v>
      </c>
    </row>
    <row r="171" spans="2:6" x14ac:dyDescent="0.3">
      <c r="B171" t="s">
        <v>40</v>
      </c>
      <c r="C171" t="s">
        <v>38</v>
      </c>
      <c r="D171" t="s">
        <v>13</v>
      </c>
      <c r="E171" s="4">
        <v>5670</v>
      </c>
      <c r="F171" s="5">
        <v>297</v>
      </c>
    </row>
    <row r="172" spans="2:6" x14ac:dyDescent="0.3">
      <c r="B172" t="s">
        <v>7</v>
      </c>
      <c r="C172" t="s">
        <v>35</v>
      </c>
      <c r="D172" t="s">
        <v>16</v>
      </c>
      <c r="E172" s="4">
        <v>2135</v>
      </c>
      <c r="F172" s="5">
        <v>27</v>
      </c>
    </row>
    <row r="173" spans="2:6" x14ac:dyDescent="0.3">
      <c r="B173" t="s">
        <v>40</v>
      </c>
      <c r="C173" t="s">
        <v>34</v>
      </c>
      <c r="D173" t="s">
        <v>23</v>
      </c>
      <c r="E173" s="4">
        <v>2779</v>
      </c>
      <c r="F173" s="5">
        <v>75</v>
      </c>
    </row>
    <row r="174" spans="2:6" x14ac:dyDescent="0.3">
      <c r="B174" t="s">
        <v>10</v>
      </c>
      <c r="C174" t="s">
        <v>39</v>
      </c>
      <c r="D174" t="s">
        <v>33</v>
      </c>
      <c r="E174" s="4">
        <v>12950</v>
      </c>
      <c r="F174" s="5">
        <v>30</v>
      </c>
    </row>
    <row r="175" spans="2:6" x14ac:dyDescent="0.3">
      <c r="B175" t="s">
        <v>7</v>
      </c>
      <c r="C175" t="s">
        <v>36</v>
      </c>
      <c r="D175" t="s">
        <v>18</v>
      </c>
      <c r="E175" s="4">
        <v>2646</v>
      </c>
      <c r="F175" s="5">
        <v>177</v>
      </c>
    </row>
    <row r="176" spans="2:6" x14ac:dyDescent="0.3">
      <c r="B176" t="s">
        <v>40</v>
      </c>
      <c r="C176" t="s">
        <v>34</v>
      </c>
      <c r="D176" t="s">
        <v>33</v>
      </c>
      <c r="E176" s="4">
        <v>3794</v>
      </c>
      <c r="F176" s="5">
        <v>159</v>
      </c>
    </row>
    <row r="177" spans="2:6" x14ac:dyDescent="0.3">
      <c r="B177" t="s">
        <v>3</v>
      </c>
      <c r="C177" t="s">
        <v>35</v>
      </c>
      <c r="D177" t="s">
        <v>33</v>
      </c>
      <c r="E177" s="4">
        <v>819</v>
      </c>
      <c r="F177" s="5">
        <v>306</v>
      </c>
    </row>
    <row r="178" spans="2:6" x14ac:dyDescent="0.3">
      <c r="B178" t="s">
        <v>3</v>
      </c>
      <c r="C178" t="s">
        <v>34</v>
      </c>
      <c r="D178" t="s">
        <v>20</v>
      </c>
      <c r="E178" s="4">
        <v>2583</v>
      </c>
      <c r="F178" s="5">
        <v>18</v>
      </c>
    </row>
    <row r="179" spans="2:6" x14ac:dyDescent="0.3">
      <c r="B179" t="s">
        <v>7</v>
      </c>
      <c r="C179" t="s">
        <v>35</v>
      </c>
      <c r="D179" t="s">
        <v>19</v>
      </c>
      <c r="E179" s="4">
        <v>4585</v>
      </c>
      <c r="F179" s="5">
        <v>240</v>
      </c>
    </row>
    <row r="180" spans="2:6" x14ac:dyDescent="0.3">
      <c r="B180" t="s">
        <v>5</v>
      </c>
      <c r="C180" t="s">
        <v>34</v>
      </c>
      <c r="D180" t="s">
        <v>33</v>
      </c>
      <c r="E180" s="4">
        <v>1652</v>
      </c>
      <c r="F180" s="5">
        <v>93</v>
      </c>
    </row>
    <row r="181" spans="2:6" x14ac:dyDescent="0.3">
      <c r="B181" t="s">
        <v>10</v>
      </c>
      <c r="C181" t="s">
        <v>34</v>
      </c>
      <c r="D181" t="s">
        <v>26</v>
      </c>
      <c r="E181" s="4">
        <v>4991</v>
      </c>
      <c r="F181" s="5">
        <v>9</v>
      </c>
    </row>
    <row r="182" spans="2:6" x14ac:dyDescent="0.3">
      <c r="B182" t="s">
        <v>8</v>
      </c>
      <c r="C182" t="s">
        <v>34</v>
      </c>
      <c r="D182" t="s">
        <v>16</v>
      </c>
      <c r="E182" s="4">
        <v>2009</v>
      </c>
      <c r="F182" s="5">
        <v>219</v>
      </c>
    </row>
    <row r="183" spans="2:6" x14ac:dyDescent="0.3">
      <c r="B183" t="s">
        <v>2</v>
      </c>
      <c r="C183" t="s">
        <v>39</v>
      </c>
      <c r="D183" t="s">
        <v>22</v>
      </c>
      <c r="E183" s="4">
        <v>1568</v>
      </c>
      <c r="F183" s="5">
        <v>141</v>
      </c>
    </row>
    <row r="184" spans="2:6" x14ac:dyDescent="0.3">
      <c r="B184" t="s">
        <v>41</v>
      </c>
      <c r="C184" t="s">
        <v>37</v>
      </c>
      <c r="D184" t="s">
        <v>20</v>
      </c>
      <c r="E184" s="4">
        <v>3388</v>
      </c>
      <c r="F184" s="5">
        <v>123</v>
      </c>
    </row>
    <row r="185" spans="2:6" x14ac:dyDescent="0.3">
      <c r="B185" t="s">
        <v>40</v>
      </c>
      <c r="C185" t="s">
        <v>38</v>
      </c>
      <c r="D185" t="s">
        <v>24</v>
      </c>
      <c r="E185" s="4">
        <v>623</v>
      </c>
      <c r="F185" s="5">
        <v>51</v>
      </c>
    </row>
    <row r="186" spans="2:6" x14ac:dyDescent="0.3">
      <c r="B186" t="s">
        <v>6</v>
      </c>
      <c r="C186" t="s">
        <v>36</v>
      </c>
      <c r="D186" t="s">
        <v>4</v>
      </c>
      <c r="E186" s="4">
        <v>10073</v>
      </c>
      <c r="F186" s="5">
        <v>120</v>
      </c>
    </row>
    <row r="187" spans="2:6" x14ac:dyDescent="0.3">
      <c r="B187" t="s">
        <v>8</v>
      </c>
      <c r="C187" t="s">
        <v>39</v>
      </c>
      <c r="D187" t="s">
        <v>26</v>
      </c>
      <c r="E187" s="4">
        <v>1561</v>
      </c>
      <c r="F187" s="5">
        <v>27</v>
      </c>
    </row>
    <row r="188" spans="2:6" x14ac:dyDescent="0.3">
      <c r="B188" t="s">
        <v>9</v>
      </c>
      <c r="C188" t="s">
        <v>36</v>
      </c>
      <c r="D188" t="s">
        <v>27</v>
      </c>
      <c r="E188" s="4">
        <v>11522</v>
      </c>
      <c r="F188" s="5">
        <v>204</v>
      </c>
    </row>
    <row r="189" spans="2:6" x14ac:dyDescent="0.3">
      <c r="B189" t="s">
        <v>6</v>
      </c>
      <c r="C189" t="s">
        <v>38</v>
      </c>
      <c r="D189" t="s">
        <v>13</v>
      </c>
      <c r="E189" s="4">
        <v>2317</v>
      </c>
      <c r="F189" s="5">
        <v>123</v>
      </c>
    </row>
    <row r="190" spans="2:6" x14ac:dyDescent="0.3">
      <c r="B190" t="s">
        <v>10</v>
      </c>
      <c r="C190" t="s">
        <v>37</v>
      </c>
      <c r="D190" t="s">
        <v>28</v>
      </c>
      <c r="E190" s="4">
        <v>3059</v>
      </c>
      <c r="F190" s="5">
        <v>27</v>
      </c>
    </row>
    <row r="191" spans="2:6" x14ac:dyDescent="0.3">
      <c r="B191" t="s">
        <v>41</v>
      </c>
      <c r="C191" t="s">
        <v>37</v>
      </c>
      <c r="D191" t="s">
        <v>26</v>
      </c>
      <c r="E191" s="4">
        <v>2324</v>
      </c>
      <c r="F191" s="5">
        <v>177</v>
      </c>
    </row>
    <row r="192" spans="2:6" x14ac:dyDescent="0.3">
      <c r="B192" t="s">
        <v>3</v>
      </c>
      <c r="C192" t="s">
        <v>39</v>
      </c>
      <c r="D192" t="s">
        <v>26</v>
      </c>
      <c r="E192" s="4">
        <v>4956</v>
      </c>
      <c r="F192" s="5">
        <v>171</v>
      </c>
    </row>
    <row r="193" spans="2:6" x14ac:dyDescent="0.3">
      <c r="B193" t="s">
        <v>10</v>
      </c>
      <c r="C193" t="s">
        <v>34</v>
      </c>
      <c r="D193" t="s">
        <v>19</v>
      </c>
      <c r="E193" s="4">
        <v>5355</v>
      </c>
      <c r="F193" s="5">
        <v>204</v>
      </c>
    </row>
    <row r="194" spans="2:6" x14ac:dyDescent="0.3">
      <c r="B194" t="s">
        <v>3</v>
      </c>
      <c r="C194" t="s">
        <v>34</v>
      </c>
      <c r="D194" t="s">
        <v>14</v>
      </c>
      <c r="E194" s="4">
        <v>7259</v>
      </c>
      <c r="F194" s="5">
        <v>276</v>
      </c>
    </row>
    <row r="195" spans="2:6" x14ac:dyDescent="0.3">
      <c r="B195" t="s">
        <v>8</v>
      </c>
      <c r="C195" t="s">
        <v>37</v>
      </c>
      <c r="D195" t="s">
        <v>26</v>
      </c>
      <c r="E195" s="4">
        <v>6279</v>
      </c>
      <c r="F195" s="5">
        <v>45</v>
      </c>
    </row>
    <row r="196" spans="2:6" x14ac:dyDescent="0.3">
      <c r="B196" t="s">
        <v>40</v>
      </c>
      <c r="C196" t="s">
        <v>38</v>
      </c>
      <c r="D196" t="s">
        <v>29</v>
      </c>
      <c r="E196" s="4">
        <v>2541</v>
      </c>
      <c r="F196" s="5">
        <v>45</v>
      </c>
    </row>
    <row r="197" spans="2:6" x14ac:dyDescent="0.3">
      <c r="B197" t="s">
        <v>6</v>
      </c>
      <c r="C197" t="s">
        <v>35</v>
      </c>
      <c r="D197" t="s">
        <v>27</v>
      </c>
      <c r="E197" s="4">
        <v>3864</v>
      </c>
      <c r="F197" s="5">
        <v>177</v>
      </c>
    </row>
    <row r="198" spans="2:6" x14ac:dyDescent="0.3">
      <c r="B198" t="s">
        <v>5</v>
      </c>
      <c r="C198" t="s">
        <v>36</v>
      </c>
      <c r="D198" t="s">
        <v>13</v>
      </c>
      <c r="E198" s="4">
        <v>6146</v>
      </c>
      <c r="F198" s="5">
        <v>63</v>
      </c>
    </row>
    <row r="199" spans="2:6" x14ac:dyDescent="0.3">
      <c r="B199" t="s">
        <v>9</v>
      </c>
      <c r="C199" t="s">
        <v>39</v>
      </c>
      <c r="D199" t="s">
        <v>18</v>
      </c>
      <c r="E199" s="4">
        <v>2639</v>
      </c>
      <c r="F199" s="5">
        <v>204</v>
      </c>
    </row>
    <row r="200" spans="2:6" x14ac:dyDescent="0.3">
      <c r="B200" t="s">
        <v>8</v>
      </c>
      <c r="C200" t="s">
        <v>37</v>
      </c>
      <c r="D200" t="s">
        <v>22</v>
      </c>
      <c r="E200" s="4">
        <v>1890</v>
      </c>
      <c r="F200" s="5">
        <v>195</v>
      </c>
    </row>
    <row r="201" spans="2:6" x14ac:dyDescent="0.3">
      <c r="B201" t="s">
        <v>7</v>
      </c>
      <c r="C201" t="s">
        <v>34</v>
      </c>
      <c r="D201" t="s">
        <v>14</v>
      </c>
      <c r="E201" s="4">
        <v>1932</v>
      </c>
      <c r="F201" s="5">
        <v>369</v>
      </c>
    </row>
    <row r="202" spans="2:6" x14ac:dyDescent="0.3">
      <c r="B202" t="s">
        <v>3</v>
      </c>
      <c r="C202" t="s">
        <v>34</v>
      </c>
      <c r="D202" t="s">
        <v>25</v>
      </c>
      <c r="E202" s="4">
        <v>6300</v>
      </c>
      <c r="F202" s="5">
        <v>42</v>
      </c>
    </row>
    <row r="203" spans="2:6" x14ac:dyDescent="0.3">
      <c r="B203" t="s">
        <v>6</v>
      </c>
      <c r="C203" t="s">
        <v>37</v>
      </c>
      <c r="D203" t="s">
        <v>30</v>
      </c>
      <c r="E203" s="4">
        <v>560</v>
      </c>
      <c r="F203" s="5">
        <v>81</v>
      </c>
    </row>
    <row r="204" spans="2:6" x14ac:dyDescent="0.3">
      <c r="B204" t="s">
        <v>9</v>
      </c>
      <c r="C204" t="s">
        <v>37</v>
      </c>
      <c r="D204" t="s">
        <v>26</v>
      </c>
      <c r="E204" s="4">
        <v>2856</v>
      </c>
      <c r="F204" s="5">
        <v>246</v>
      </c>
    </row>
    <row r="205" spans="2:6" x14ac:dyDescent="0.3">
      <c r="B205" t="s">
        <v>9</v>
      </c>
      <c r="C205" t="s">
        <v>34</v>
      </c>
      <c r="D205" t="s">
        <v>17</v>
      </c>
      <c r="E205" s="4">
        <v>707</v>
      </c>
      <c r="F205" s="5">
        <v>174</v>
      </c>
    </row>
    <row r="206" spans="2:6" x14ac:dyDescent="0.3">
      <c r="B206" t="s">
        <v>8</v>
      </c>
      <c r="C206" t="s">
        <v>35</v>
      </c>
      <c r="D206" t="s">
        <v>30</v>
      </c>
      <c r="E206" s="4">
        <v>3598</v>
      </c>
      <c r="F206" s="5">
        <v>81</v>
      </c>
    </row>
    <row r="207" spans="2:6" x14ac:dyDescent="0.3">
      <c r="B207" t="s">
        <v>40</v>
      </c>
      <c r="C207" t="s">
        <v>35</v>
      </c>
      <c r="D207" t="s">
        <v>22</v>
      </c>
      <c r="E207" s="4">
        <v>6853</v>
      </c>
      <c r="F207" s="5">
        <v>372</v>
      </c>
    </row>
    <row r="208" spans="2:6" x14ac:dyDescent="0.3">
      <c r="B208" t="s">
        <v>40</v>
      </c>
      <c r="C208" t="s">
        <v>35</v>
      </c>
      <c r="D208" t="s">
        <v>16</v>
      </c>
      <c r="E208" s="4">
        <v>4725</v>
      </c>
      <c r="F208" s="5">
        <v>174</v>
      </c>
    </row>
    <row r="209" spans="2:6" x14ac:dyDescent="0.3">
      <c r="B209" t="s">
        <v>41</v>
      </c>
      <c r="C209" t="s">
        <v>36</v>
      </c>
      <c r="D209" t="s">
        <v>32</v>
      </c>
      <c r="E209" s="4">
        <v>10304</v>
      </c>
      <c r="F209" s="5">
        <v>84</v>
      </c>
    </row>
    <row r="210" spans="2:6" x14ac:dyDescent="0.3">
      <c r="B210" t="s">
        <v>41</v>
      </c>
      <c r="C210" t="s">
        <v>34</v>
      </c>
      <c r="D210" t="s">
        <v>16</v>
      </c>
      <c r="E210" s="4">
        <v>1274</v>
      </c>
      <c r="F210" s="5">
        <v>225</v>
      </c>
    </row>
    <row r="211" spans="2:6" x14ac:dyDescent="0.3">
      <c r="B211" t="s">
        <v>5</v>
      </c>
      <c r="C211" t="s">
        <v>36</v>
      </c>
      <c r="D211" t="s">
        <v>30</v>
      </c>
      <c r="E211" s="4">
        <v>1526</v>
      </c>
      <c r="F211" s="5">
        <v>105</v>
      </c>
    </row>
    <row r="212" spans="2:6" x14ac:dyDescent="0.3">
      <c r="B212" t="s">
        <v>40</v>
      </c>
      <c r="C212" t="s">
        <v>39</v>
      </c>
      <c r="D212" t="s">
        <v>28</v>
      </c>
      <c r="E212" s="4">
        <v>3101</v>
      </c>
      <c r="F212" s="5">
        <v>225</v>
      </c>
    </row>
    <row r="213" spans="2:6" x14ac:dyDescent="0.3">
      <c r="B213" t="s">
        <v>2</v>
      </c>
      <c r="C213" t="s">
        <v>37</v>
      </c>
      <c r="D213" t="s">
        <v>14</v>
      </c>
      <c r="E213" s="4">
        <v>1057</v>
      </c>
      <c r="F213" s="5">
        <v>54</v>
      </c>
    </row>
    <row r="214" spans="2:6" x14ac:dyDescent="0.3">
      <c r="B214" t="s">
        <v>7</v>
      </c>
      <c r="C214" t="s">
        <v>37</v>
      </c>
      <c r="D214" t="s">
        <v>26</v>
      </c>
      <c r="E214" s="4">
        <v>5306</v>
      </c>
      <c r="F214" s="5">
        <v>0</v>
      </c>
    </row>
    <row r="215" spans="2:6" x14ac:dyDescent="0.3">
      <c r="B215" t="s">
        <v>5</v>
      </c>
      <c r="C215" t="s">
        <v>39</v>
      </c>
      <c r="D215" t="s">
        <v>24</v>
      </c>
      <c r="E215" s="4">
        <v>4018</v>
      </c>
      <c r="F215" s="5">
        <v>171</v>
      </c>
    </row>
    <row r="216" spans="2:6" x14ac:dyDescent="0.3">
      <c r="B216" t="s">
        <v>9</v>
      </c>
      <c r="C216" t="s">
        <v>34</v>
      </c>
      <c r="D216" t="s">
        <v>16</v>
      </c>
      <c r="E216" s="4">
        <v>938</v>
      </c>
      <c r="F216" s="5">
        <v>189</v>
      </c>
    </row>
    <row r="217" spans="2:6" x14ac:dyDescent="0.3">
      <c r="B217" t="s">
        <v>7</v>
      </c>
      <c r="C217" t="s">
        <v>38</v>
      </c>
      <c r="D217" t="s">
        <v>18</v>
      </c>
      <c r="E217" s="4">
        <v>1778</v>
      </c>
      <c r="F217" s="5">
        <v>270</v>
      </c>
    </row>
    <row r="218" spans="2:6" x14ac:dyDescent="0.3">
      <c r="B218" t="s">
        <v>6</v>
      </c>
      <c r="C218" t="s">
        <v>39</v>
      </c>
      <c r="D218" t="s">
        <v>30</v>
      </c>
      <c r="E218" s="4">
        <v>1638</v>
      </c>
      <c r="F218" s="5">
        <v>63</v>
      </c>
    </row>
    <row r="219" spans="2:6" x14ac:dyDescent="0.3">
      <c r="B219" t="s">
        <v>41</v>
      </c>
      <c r="C219" t="s">
        <v>38</v>
      </c>
      <c r="D219" t="s">
        <v>25</v>
      </c>
      <c r="E219" s="4">
        <v>154</v>
      </c>
      <c r="F219" s="5">
        <v>21</v>
      </c>
    </row>
    <row r="220" spans="2:6" x14ac:dyDescent="0.3">
      <c r="B220" t="s">
        <v>7</v>
      </c>
      <c r="C220" t="s">
        <v>37</v>
      </c>
      <c r="D220" t="s">
        <v>22</v>
      </c>
      <c r="E220" s="4">
        <v>9835</v>
      </c>
      <c r="F220" s="5">
        <v>207</v>
      </c>
    </row>
    <row r="221" spans="2:6" x14ac:dyDescent="0.3">
      <c r="B221" t="s">
        <v>9</v>
      </c>
      <c r="C221" t="s">
        <v>37</v>
      </c>
      <c r="D221" t="s">
        <v>20</v>
      </c>
      <c r="E221" s="4">
        <v>7273</v>
      </c>
      <c r="F221" s="5">
        <v>96</v>
      </c>
    </row>
    <row r="222" spans="2:6" x14ac:dyDescent="0.3">
      <c r="B222" t="s">
        <v>5</v>
      </c>
      <c r="C222" t="s">
        <v>39</v>
      </c>
      <c r="D222" t="s">
        <v>22</v>
      </c>
      <c r="E222" s="4">
        <v>6909</v>
      </c>
      <c r="F222" s="5">
        <v>81</v>
      </c>
    </row>
    <row r="223" spans="2:6" x14ac:dyDescent="0.3">
      <c r="B223" t="s">
        <v>9</v>
      </c>
      <c r="C223" t="s">
        <v>39</v>
      </c>
      <c r="D223" t="s">
        <v>24</v>
      </c>
      <c r="E223" s="4">
        <v>3920</v>
      </c>
      <c r="F223" s="5">
        <v>306</v>
      </c>
    </row>
    <row r="224" spans="2:6" x14ac:dyDescent="0.3">
      <c r="B224" t="s">
        <v>10</v>
      </c>
      <c r="C224" t="s">
        <v>39</v>
      </c>
      <c r="D224" t="s">
        <v>21</v>
      </c>
      <c r="E224" s="4">
        <v>4858</v>
      </c>
      <c r="F224" s="5">
        <v>279</v>
      </c>
    </row>
    <row r="225" spans="2:6" x14ac:dyDescent="0.3">
      <c r="B225" t="s">
        <v>2</v>
      </c>
      <c r="C225" t="s">
        <v>38</v>
      </c>
      <c r="D225" t="s">
        <v>4</v>
      </c>
      <c r="E225" s="4">
        <v>3549</v>
      </c>
      <c r="F225" s="5">
        <v>3</v>
      </c>
    </row>
    <row r="226" spans="2:6" x14ac:dyDescent="0.3">
      <c r="B226" t="s">
        <v>7</v>
      </c>
      <c r="C226" t="s">
        <v>39</v>
      </c>
      <c r="D226" t="s">
        <v>27</v>
      </c>
      <c r="E226" s="4">
        <v>966</v>
      </c>
      <c r="F226" s="5">
        <v>198</v>
      </c>
    </row>
    <row r="227" spans="2:6" x14ac:dyDescent="0.3">
      <c r="B227" t="s">
        <v>5</v>
      </c>
      <c r="C227" t="s">
        <v>39</v>
      </c>
      <c r="D227" t="s">
        <v>18</v>
      </c>
      <c r="E227" s="4">
        <v>385</v>
      </c>
      <c r="F227" s="5">
        <v>249</v>
      </c>
    </row>
    <row r="228" spans="2:6" x14ac:dyDescent="0.3">
      <c r="B228" t="s">
        <v>6</v>
      </c>
      <c r="C228" t="s">
        <v>34</v>
      </c>
      <c r="D228" t="s">
        <v>16</v>
      </c>
      <c r="E228" s="4">
        <v>2219</v>
      </c>
      <c r="F228" s="5">
        <v>75</v>
      </c>
    </row>
    <row r="229" spans="2:6" x14ac:dyDescent="0.3">
      <c r="B229" t="s">
        <v>9</v>
      </c>
      <c r="C229" t="s">
        <v>36</v>
      </c>
      <c r="D229" t="s">
        <v>32</v>
      </c>
      <c r="E229" s="4">
        <v>2954</v>
      </c>
      <c r="F229" s="5">
        <v>189</v>
      </c>
    </row>
    <row r="230" spans="2:6" x14ac:dyDescent="0.3">
      <c r="B230" t="s">
        <v>7</v>
      </c>
      <c r="C230" t="s">
        <v>36</v>
      </c>
      <c r="D230" t="s">
        <v>32</v>
      </c>
      <c r="E230" s="4">
        <v>280</v>
      </c>
      <c r="F230" s="5">
        <v>87</v>
      </c>
    </row>
    <row r="231" spans="2:6" x14ac:dyDescent="0.3">
      <c r="B231" t="s">
        <v>41</v>
      </c>
      <c r="C231" t="s">
        <v>36</v>
      </c>
      <c r="D231" t="s">
        <v>30</v>
      </c>
      <c r="E231" s="4">
        <v>6118</v>
      </c>
      <c r="F231" s="5">
        <v>174</v>
      </c>
    </row>
    <row r="232" spans="2:6" x14ac:dyDescent="0.3">
      <c r="B232" t="s">
        <v>2</v>
      </c>
      <c r="C232" t="s">
        <v>39</v>
      </c>
      <c r="D232" t="s">
        <v>15</v>
      </c>
      <c r="E232" s="4">
        <v>4802</v>
      </c>
      <c r="F232" s="5">
        <v>36</v>
      </c>
    </row>
    <row r="233" spans="2:6" x14ac:dyDescent="0.3">
      <c r="B233" t="s">
        <v>9</v>
      </c>
      <c r="C233" t="s">
        <v>38</v>
      </c>
      <c r="D233" t="s">
        <v>24</v>
      </c>
      <c r="E233" s="4">
        <v>4137</v>
      </c>
      <c r="F233" s="5">
        <v>60</v>
      </c>
    </row>
    <row r="234" spans="2:6" x14ac:dyDescent="0.3">
      <c r="B234" t="s">
        <v>3</v>
      </c>
      <c r="C234" t="s">
        <v>35</v>
      </c>
      <c r="D234" t="s">
        <v>23</v>
      </c>
      <c r="E234" s="4">
        <v>2023</v>
      </c>
      <c r="F234" s="5">
        <v>78</v>
      </c>
    </row>
    <row r="235" spans="2:6" x14ac:dyDescent="0.3">
      <c r="B235" t="s">
        <v>9</v>
      </c>
      <c r="C235" t="s">
        <v>36</v>
      </c>
      <c r="D235" t="s">
        <v>30</v>
      </c>
      <c r="E235" s="4">
        <v>9051</v>
      </c>
      <c r="F235" s="5">
        <v>57</v>
      </c>
    </row>
    <row r="236" spans="2:6" x14ac:dyDescent="0.3">
      <c r="B236" t="s">
        <v>9</v>
      </c>
      <c r="C236" t="s">
        <v>37</v>
      </c>
      <c r="D236" t="s">
        <v>28</v>
      </c>
      <c r="E236" s="4">
        <v>2919</v>
      </c>
      <c r="F236" s="5">
        <v>45</v>
      </c>
    </row>
    <row r="237" spans="2:6" x14ac:dyDescent="0.3">
      <c r="B237" t="s">
        <v>41</v>
      </c>
      <c r="C237" t="s">
        <v>38</v>
      </c>
      <c r="D237" t="s">
        <v>22</v>
      </c>
      <c r="E237" s="4">
        <v>5915</v>
      </c>
      <c r="F237" s="5">
        <v>3</v>
      </c>
    </row>
    <row r="238" spans="2:6" x14ac:dyDescent="0.3">
      <c r="B238" t="s">
        <v>10</v>
      </c>
      <c r="C238" t="s">
        <v>35</v>
      </c>
      <c r="D238" t="s">
        <v>15</v>
      </c>
      <c r="E238" s="4">
        <v>2562</v>
      </c>
      <c r="F238" s="5">
        <v>6</v>
      </c>
    </row>
    <row r="239" spans="2:6" x14ac:dyDescent="0.3">
      <c r="B239" t="s">
        <v>5</v>
      </c>
      <c r="C239" t="s">
        <v>37</v>
      </c>
      <c r="D239" t="s">
        <v>25</v>
      </c>
      <c r="E239" s="4">
        <v>8813</v>
      </c>
      <c r="F239" s="5">
        <v>21</v>
      </c>
    </row>
    <row r="240" spans="2:6" x14ac:dyDescent="0.3">
      <c r="B240" t="s">
        <v>5</v>
      </c>
      <c r="C240" t="s">
        <v>36</v>
      </c>
      <c r="D240" t="s">
        <v>18</v>
      </c>
      <c r="E240" s="4">
        <v>6111</v>
      </c>
      <c r="F240" s="5">
        <v>3</v>
      </c>
    </row>
    <row r="241" spans="2:6" x14ac:dyDescent="0.3">
      <c r="B241" t="s">
        <v>8</v>
      </c>
      <c r="C241" t="s">
        <v>34</v>
      </c>
      <c r="D241" t="s">
        <v>31</v>
      </c>
      <c r="E241" s="4">
        <v>3507</v>
      </c>
      <c r="F241" s="5">
        <v>288</v>
      </c>
    </row>
    <row r="242" spans="2:6" x14ac:dyDescent="0.3">
      <c r="B242" t="s">
        <v>6</v>
      </c>
      <c r="C242" t="s">
        <v>36</v>
      </c>
      <c r="D242" t="s">
        <v>13</v>
      </c>
      <c r="E242" s="4">
        <v>4319</v>
      </c>
      <c r="F242" s="5">
        <v>30</v>
      </c>
    </row>
    <row r="243" spans="2:6" x14ac:dyDescent="0.3">
      <c r="B243" t="s">
        <v>40</v>
      </c>
      <c r="C243" t="s">
        <v>38</v>
      </c>
      <c r="D243" t="s">
        <v>26</v>
      </c>
      <c r="E243" s="4">
        <v>609</v>
      </c>
      <c r="F243" s="5">
        <v>87</v>
      </c>
    </row>
    <row r="244" spans="2:6" x14ac:dyDescent="0.3">
      <c r="B244" t="s">
        <v>40</v>
      </c>
      <c r="C244" t="s">
        <v>39</v>
      </c>
      <c r="D244" t="s">
        <v>27</v>
      </c>
      <c r="E244" s="4">
        <v>6370</v>
      </c>
      <c r="F244" s="5">
        <v>30</v>
      </c>
    </row>
    <row r="245" spans="2:6" x14ac:dyDescent="0.3">
      <c r="B245" t="s">
        <v>5</v>
      </c>
      <c r="C245" t="s">
        <v>38</v>
      </c>
      <c r="D245" t="s">
        <v>19</v>
      </c>
      <c r="E245" s="4">
        <v>5474</v>
      </c>
      <c r="F245" s="5">
        <v>168</v>
      </c>
    </row>
    <row r="246" spans="2:6" x14ac:dyDescent="0.3">
      <c r="B246" t="s">
        <v>40</v>
      </c>
      <c r="C246" t="s">
        <v>36</v>
      </c>
      <c r="D246" t="s">
        <v>27</v>
      </c>
      <c r="E246" s="4">
        <v>3164</v>
      </c>
      <c r="F246" s="5">
        <v>306</v>
      </c>
    </row>
    <row r="247" spans="2:6" x14ac:dyDescent="0.3">
      <c r="B247" t="s">
        <v>6</v>
      </c>
      <c r="C247" t="s">
        <v>35</v>
      </c>
      <c r="D247" t="s">
        <v>4</v>
      </c>
      <c r="E247" s="4">
        <v>1302</v>
      </c>
      <c r="F247" s="5">
        <v>402</v>
      </c>
    </row>
    <row r="248" spans="2:6" x14ac:dyDescent="0.3">
      <c r="B248" t="s">
        <v>3</v>
      </c>
      <c r="C248" t="s">
        <v>37</v>
      </c>
      <c r="D248" t="s">
        <v>28</v>
      </c>
      <c r="E248" s="4">
        <v>7308</v>
      </c>
      <c r="F248" s="5">
        <v>327</v>
      </c>
    </row>
    <row r="249" spans="2:6" x14ac:dyDescent="0.3">
      <c r="B249" t="s">
        <v>40</v>
      </c>
      <c r="C249" t="s">
        <v>37</v>
      </c>
      <c r="D249" t="s">
        <v>27</v>
      </c>
      <c r="E249" s="4">
        <v>6132</v>
      </c>
      <c r="F249" s="5">
        <v>93</v>
      </c>
    </row>
    <row r="250" spans="2:6" x14ac:dyDescent="0.3">
      <c r="B250" t="s">
        <v>10</v>
      </c>
      <c r="C250" t="s">
        <v>35</v>
      </c>
      <c r="D250" t="s">
        <v>14</v>
      </c>
      <c r="E250" s="4">
        <v>3472</v>
      </c>
      <c r="F250" s="5">
        <v>96</v>
      </c>
    </row>
    <row r="251" spans="2:6" x14ac:dyDescent="0.3">
      <c r="B251" t="s">
        <v>8</v>
      </c>
      <c r="C251" t="s">
        <v>39</v>
      </c>
      <c r="D251" t="s">
        <v>18</v>
      </c>
      <c r="E251" s="4">
        <v>9660</v>
      </c>
      <c r="F251" s="5">
        <v>27</v>
      </c>
    </row>
    <row r="252" spans="2:6" x14ac:dyDescent="0.3">
      <c r="B252" t="s">
        <v>9</v>
      </c>
      <c r="C252" t="s">
        <v>38</v>
      </c>
      <c r="D252" t="s">
        <v>26</v>
      </c>
      <c r="E252" s="4">
        <v>2436</v>
      </c>
      <c r="F252" s="5">
        <v>99</v>
      </c>
    </row>
    <row r="253" spans="2:6" x14ac:dyDescent="0.3">
      <c r="B253" t="s">
        <v>9</v>
      </c>
      <c r="C253" t="s">
        <v>38</v>
      </c>
      <c r="D253" t="s">
        <v>33</v>
      </c>
      <c r="E253" s="4">
        <v>9506</v>
      </c>
      <c r="F253" s="5">
        <v>87</v>
      </c>
    </row>
    <row r="254" spans="2:6" x14ac:dyDescent="0.3">
      <c r="B254" t="s">
        <v>10</v>
      </c>
      <c r="C254" t="s">
        <v>37</v>
      </c>
      <c r="D254" t="s">
        <v>21</v>
      </c>
      <c r="E254" s="4">
        <v>245</v>
      </c>
      <c r="F254" s="5">
        <v>288</v>
      </c>
    </row>
    <row r="255" spans="2:6" x14ac:dyDescent="0.3">
      <c r="B255" t="s">
        <v>8</v>
      </c>
      <c r="C255" t="s">
        <v>35</v>
      </c>
      <c r="D255" t="s">
        <v>20</v>
      </c>
      <c r="E255" s="4">
        <v>2702</v>
      </c>
      <c r="F255" s="5">
        <v>363</v>
      </c>
    </row>
    <row r="256" spans="2:6" x14ac:dyDescent="0.3">
      <c r="B256" t="s">
        <v>10</v>
      </c>
      <c r="C256" t="s">
        <v>34</v>
      </c>
      <c r="D256" t="s">
        <v>17</v>
      </c>
      <c r="E256" s="4">
        <v>700</v>
      </c>
      <c r="F256" s="5">
        <v>87</v>
      </c>
    </row>
    <row r="257" spans="2:6" x14ac:dyDescent="0.3">
      <c r="B257" t="s">
        <v>6</v>
      </c>
      <c r="C257" t="s">
        <v>34</v>
      </c>
      <c r="D257" t="s">
        <v>17</v>
      </c>
      <c r="E257" s="4">
        <v>3759</v>
      </c>
      <c r="F257" s="5">
        <v>150</v>
      </c>
    </row>
    <row r="258" spans="2:6" x14ac:dyDescent="0.3">
      <c r="B258" t="s">
        <v>2</v>
      </c>
      <c r="C258" t="s">
        <v>35</v>
      </c>
      <c r="D258" t="s">
        <v>17</v>
      </c>
      <c r="E258" s="4">
        <v>1589</v>
      </c>
      <c r="F258" s="5">
        <v>303</v>
      </c>
    </row>
    <row r="259" spans="2:6" x14ac:dyDescent="0.3">
      <c r="B259" t="s">
        <v>7</v>
      </c>
      <c r="C259" t="s">
        <v>35</v>
      </c>
      <c r="D259" t="s">
        <v>28</v>
      </c>
      <c r="E259" s="4">
        <v>5194</v>
      </c>
      <c r="F259" s="5">
        <v>288</v>
      </c>
    </row>
    <row r="260" spans="2:6" x14ac:dyDescent="0.3">
      <c r="B260" t="s">
        <v>10</v>
      </c>
      <c r="C260" t="s">
        <v>36</v>
      </c>
      <c r="D260" t="s">
        <v>13</v>
      </c>
      <c r="E260" s="4">
        <v>945</v>
      </c>
      <c r="F260" s="5">
        <v>75</v>
      </c>
    </row>
    <row r="261" spans="2:6" x14ac:dyDescent="0.3">
      <c r="B261" t="s">
        <v>40</v>
      </c>
      <c r="C261" t="s">
        <v>38</v>
      </c>
      <c r="D261" t="s">
        <v>31</v>
      </c>
      <c r="E261" s="4">
        <v>1988</v>
      </c>
      <c r="F261" s="5">
        <v>39</v>
      </c>
    </row>
    <row r="262" spans="2:6" x14ac:dyDescent="0.3">
      <c r="B262" t="s">
        <v>6</v>
      </c>
      <c r="C262" t="s">
        <v>34</v>
      </c>
      <c r="D262" t="s">
        <v>32</v>
      </c>
      <c r="E262" s="4">
        <v>6734</v>
      </c>
      <c r="F262" s="5">
        <v>123</v>
      </c>
    </row>
    <row r="263" spans="2:6" x14ac:dyDescent="0.3">
      <c r="B263" t="s">
        <v>40</v>
      </c>
      <c r="C263" t="s">
        <v>36</v>
      </c>
      <c r="D263" t="s">
        <v>4</v>
      </c>
      <c r="E263" s="4">
        <v>217</v>
      </c>
      <c r="F263" s="5">
        <v>36</v>
      </c>
    </row>
    <row r="264" spans="2:6" x14ac:dyDescent="0.3">
      <c r="B264" t="s">
        <v>5</v>
      </c>
      <c r="C264" t="s">
        <v>34</v>
      </c>
      <c r="D264" t="s">
        <v>22</v>
      </c>
      <c r="E264" s="4">
        <v>6279</v>
      </c>
      <c r="F264" s="5">
        <v>237</v>
      </c>
    </row>
    <row r="265" spans="2:6" x14ac:dyDescent="0.3">
      <c r="B265" t="s">
        <v>40</v>
      </c>
      <c r="C265" t="s">
        <v>36</v>
      </c>
      <c r="D265" t="s">
        <v>13</v>
      </c>
      <c r="E265" s="4">
        <v>4424</v>
      </c>
      <c r="F265" s="5">
        <v>201</v>
      </c>
    </row>
    <row r="266" spans="2:6" x14ac:dyDescent="0.3">
      <c r="B266" t="s">
        <v>2</v>
      </c>
      <c r="C266" t="s">
        <v>36</v>
      </c>
      <c r="D266" t="s">
        <v>17</v>
      </c>
      <c r="E266" s="4">
        <v>189</v>
      </c>
      <c r="F266" s="5">
        <v>48</v>
      </c>
    </row>
    <row r="267" spans="2:6" x14ac:dyDescent="0.3">
      <c r="B267" t="s">
        <v>5</v>
      </c>
      <c r="C267" t="s">
        <v>35</v>
      </c>
      <c r="D267" t="s">
        <v>22</v>
      </c>
      <c r="E267" s="4">
        <v>490</v>
      </c>
      <c r="F267" s="5">
        <v>84</v>
      </c>
    </row>
    <row r="268" spans="2:6" x14ac:dyDescent="0.3">
      <c r="B268" t="s">
        <v>8</v>
      </c>
      <c r="C268" t="s">
        <v>37</v>
      </c>
      <c r="D268" t="s">
        <v>21</v>
      </c>
      <c r="E268" s="4">
        <v>434</v>
      </c>
      <c r="F268" s="5">
        <v>87</v>
      </c>
    </row>
    <row r="269" spans="2:6" x14ac:dyDescent="0.3">
      <c r="B269" t="s">
        <v>7</v>
      </c>
      <c r="C269" t="s">
        <v>38</v>
      </c>
      <c r="D269" t="s">
        <v>30</v>
      </c>
      <c r="E269" s="4">
        <v>10129</v>
      </c>
      <c r="F269" s="5">
        <v>312</v>
      </c>
    </row>
    <row r="270" spans="2:6" x14ac:dyDescent="0.3">
      <c r="B270" t="s">
        <v>3</v>
      </c>
      <c r="C270" t="s">
        <v>39</v>
      </c>
      <c r="D270" t="s">
        <v>28</v>
      </c>
      <c r="E270" s="4">
        <v>1652</v>
      </c>
      <c r="F270" s="5">
        <v>102</v>
      </c>
    </row>
    <row r="271" spans="2:6" x14ac:dyDescent="0.3">
      <c r="B271" t="s">
        <v>8</v>
      </c>
      <c r="C271" t="s">
        <v>38</v>
      </c>
      <c r="D271" t="s">
        <v>21</v>
      </c>
      <c r="E271" s="4">
        <v>6433</v>
      </c>
      <c r="F271" s="5">
        <v>78</v>
      </c>
    </row>
    <row r="272" spans="2:6" x14ac:dyDescent="0.3">
      <c r="B272" t="s">
        <v>3</v>
      </c>
      <c r="C272" t="s">
        <v>34</v>
      </c>
      <c r="D272" t="s">
        <v>23</v>
      </c>
      <c r="E272" s="4">
        <v>2212</v>
      </c>
      <c r="F272" s="5">
        <v>117</v>
      </c>
    </row>
    <row r="273" spans="2:6" x14ac:dyDescent="0.3">
      <c r="B273" t="s">
        <v>41</v>
      </c>
      <c r="C273" t="s">
        <v>35</v>
      </c>
      <c r="D273" t="s">
        <v>19</v>
      </c>
      <c r="E273" s="4">
        <v>609</v>
      </c>
      <c r="F273" s="5">
        <v>99</v>
      </c>
    </row>
    <row r="274" spans="2:6" x14ac:dyDescent="0.3">
      <c r="B274" t="s">
        <v>40</v>
      </c>
      <c r="C274" t="s">
        <v>35</v>
      </c>
      <c r="D274" t="s">
        <v>24</v>
      </c>
      <c r="E274" s="4">
        <v>1638</v>
      </c>
      <c r="F274" s="5">
        <v>48</v>
      </c>
    </row>
    <row r="275" spans="2:6" x14ac:dyDescent="0.3">
      <c r="B275" t="s">
        <v>7</v>
      </c>
      <c r="C275" t="s">
        <v>34</v>
      </c>
      <c r="D275" t="s">
        <v>15</v>
      </c>
      <c r="E275" s="4">
        <v>3829</v>
      </c>
      <c r="F275" s="5">
        <v>24</v>
      </c>
    </row>
    <row r="276" spans="2:6" x14ac:dyDescent="0.3">
      <c r="B276" t="s">
        <v>40</v>
      </c>
      <c r="C276" t="s">
        <v>39</v>
      </c>
      <c r="D276" t="s">
        <v>15</v>
      </c>
      <c r="E276" s="4">
        <v>5775</v>
      </c>
      <c r="F276" s="5">
        <v>42</v>
      </c>
    </row>
    <row r="277" spans="2:6" x14ac:dyDescent="0.3">
      <c r="B277" t="s">
        <v>6</v>
      </c>
      <c r="C277" t="s">
        <v>35</v>
      </c>
      <c r="D277" t="s">
        <v>20</v>
      </c>
      <c r="E277" s="4">
        <v>1071</v>
      </c>
      <c r="F277" s="5">
        <v>270</v>
      </c>
    </row>
    <row r="278" spans="2:6" x14ac:dyDescent="0.3">
      <c r="B278" t="s">
        <v>8</v>
      </c>
      <c r="C278" t="s">
        <v>36</v>
      </c>
      <c r="D278" t="s">
        <v>23</v>
      </c>
      <c r="E278" s="4">
        <v>5019</v>
      </c>
      <c r="F278" s="5">
        <v>150</v>
      </c>
    </row>
    <row r="279" spans="2:6" x14ac:dyDescent="0.3">
      <c r="B279" t="s">
        <v>2</v>
      </c>
      <c r="C279" t="s">
        <v>37</v>
      </c>
      <c r="D279" t="s">
        <v>15</v>
      </c>
      <c r="E279" s="4">
        <v>2863</v>
      </c>
      <c r="F279" s="5">
        <v>42</v>
      </c>
    </row>
    <row r="280" spans="2:6" x14ac:dyDescent="0.3">
      <c r="B280" t="s">
        <v>40</v>
      </c>
      <c r="C280" t="s">
        <v>35</v>
      </c>
      <c r="D280" t="s">
        <v>29</v>
      </c>
      <c r="E280" s="4">
        <v>1617</v>
      </c>
      <c r="F280" s="5">
        <v>126</v>
      </c>
    </row>
    <row r="281" spans="2:6" x14ac:dyDescent="0.3">
      <c r="B281" t="s">
        <v>6</v>
      </c>
      <c r="C281" t="s">
        <v>37</v>
      </c>
      <c r="D281" t="s">
        <v>26</v>
      </c>
      <c r="E281" s="4">
        <v>6818</v>
      </c>
      <c r="F281" s="5">
        <v>6</v>
      </c>
    </row>
    <row r="282" spans="2:6" x14ac:dyDescent="0.3">
      <c r="B282" t="s">
        <v>3</v>
      </c>
      <c r="C282" t="s">
        <v>35</v>
      </c>
      <c r="D282" t="s">
        <v>15</v>
      </c>
      <c r="E282" s="4">
        <v>6657</v>
      </c>
      <c r="F282" s="5">
        <v>276</v>
      </c>
    </row>
    <row r="283" spans="2:6" x14ac:dyDescent="0.3">
      <c r="B283" t="s">
        <v>3</v>
      </c>
      <c r="C283" t="s">
        <v>34</v>
      </c>
      <c r="D283" t="s">
        <v>17</v>
      </c>
      <c r="E283" s="4">
        <v>2919</v>
      </c>
      <c r="F283" s="5">
        <v>93</v>
      </c>
    </row>
    <row r="284" spans="2:6" x14ac:dyDescent="0.3">
      <c r="B284" t="s">
        <v>2</v>
      </c>
      <c r="C284" t="s">
        <v>36</v>
      </c>
      <c r="D284" t="s">
        <v>31</v>
      </c>
      <c r="E284" s="4">
        <v>3094</v>
      </c>
      <c r="F284" s="5">
        <v>246</v>
      </c>
    </row>
    <row r="285" spans="2:6" x14ac:dyDescent="0.3">
      <c r="B285" t="s">
        <v>6</v>
      </c>
      <c r="C285" t="s">
        <v>39</v>
      </c>
      <c r="D285" t="s">
        <v>24</v>
      </c>
      <c r="E285" s="4">
        <v>2989</v>
      </c>
      <c r="F285" s="5">
        <v>3</v>
      </c>
    </row>
    <row r="286" spans="2:6" x14ac:dyDescent="0.3">
      <c r="B286" t="s">
        <v>8</v>
      </c>
      <c r="C286" t="s">
        <v>38</v>
      </c>
      <c r="D286" t="s">
        <v>27</v>
      </c>
      <c r="E286" s="4">
        <v>2268</v>
      </c>
      <c r="F286" s="5">
        <v>63</v>
      </c>
    </row>
    <row r="287" spans="2:6" x14ac:dyDescent="0.3">
      <c r="B287" t="s">
        <v>5</v>
      </c>
      <c r="C287" t="s">
        <v>35</v>
      </c>
      <c r="D287" t="s">
        <v>31</v>
      </c>
      <c r="E287" s="4">
        <v>4753</v>
      </c>
      <c r="F287" s="5">
        <v>246</v>
      </c>
    </row>
    <row r="288" spans="2:6" x14ac:dyDescent="0.3">
      <c r="B288" t="s">
        <v>2</v>
      </c>
      <c r="C288" t="s">
        <v>34</v>
      </c>
      <c r="D288" t="s">
        <v>19</v>
      </c>
      <c r="E288" s="4">
        <v>7511</v>
      </c>
      <c r="F288" s="5">
        <v>120</v>
      </c>
    </row>
    <row r="289" spans="2:6" x14ac:dyDescent="0.3">
      <c r="B289" t="s">
        <v>2</v>
      </c>
      <c r="C289" t="s">
        <v>38</v>
      </c>
      <c r="D289" t="s">
        <v>31</v>
      </c>
      <c r="E289" s="4">
        <v>4326</v>
      </c>
      <c r="F289" s="5">
        <v>348</v>
      </c>
    </row>
    <row r="290" spans="2:6" x14ac:dyDescent="0.3">
      <c r="B290" t="s">
        <v>41</v>
      </c>
      <c r="C290" t="s">
        <v>34</v>
      </c>
      <c r="D290" t="s">
        <v>23</v>
      </c>
      <c r="E290" s="4">
        <v>4935</v>
      </c>
      <c r="F290" s="5">
        <v>126</v>
      </c>
    </row>
    <row r="291" spans="2:6" x14ac:dyDescent="0.3">
      <c r="B291" t="s">
        <v>6</v>
      </c>
      <c r="C291" t="s">
        <v>35</v>
      </c>
      <c r="D291" t="s">
        <v>30</v>
      </c>
      <c r="E291" s="4">
        <v>4781</v>
      </c>
      <c r="F291" s="5">
        <v>123</v>
      </c>
    </row>
    <row r="292" spans="2:6" x14ac:dyDescent="0.3">
      <c r="B292" t="s">
        <v>5</v>
      </c>
      <c r="C292" t="s">
        <v>38</v>
      </c>
      <c r="D292" t="s">
        <v>25</v>
      </c>
      <c r="E292" s="4">
        <v>7483</v>
      </c>
      <c r="F292" s="5">
        <v>45</v>
      </c>
    </row>
    <row r="293" spans="2:6" x14ac:dyDescent="0.3">
      <c r="B293" t="s">
        <v>10</v>
      </c>
      <c r="C293" t="s">
        <v>38</v>
      </c>
      <c r="D293" t="s">
        <v>4</v>
      </c>
      <c r="E293" s="4">
        <v>6860</v>
      </c>
      <c r="F293" s="5">
        <v>126</v>
      </c>
    </row>
    <row r="294" spans="2:6" x14ac:dyDescent="0.3">
      <c r="B294" t="s">
        <v>40</v>
      </c>
      <c r="C294" t="s">
        <v>37</v>
      </c>
      <c r="D294" t="s">
        <v>29</v>
      </c>
      <c r="E294" s="4">
        <v>9002</v>
      </c>
      <c r="F294" s="5">
        <v>72</v>
      </c>
    </row>
    <row r="295" spans="2:6" x14ac:dyDescent="0.3">
      <c r="B295" t="s">
        <v>6</v>
      </c>
      <c r="C295" t="s">
        <v>36</v>
      </c>
      <c r="D295" t="s">
        <v>29</v>
      </c>
      <c r="E295" s="4">
        <v>1400</v>
      </c>
      <c r="F295" s="5">
        <v>135</v>
      </c>
    </row>
    <row r="296" spans="2:6" x14ac:dyDescent="0.3">
      <c r="B296" t="s">
        <v>10</v>
      </c>
      <c r="C296" t="s">
        <v>34</v>
      </c>
      <c r="D296" t="s">
        <v>22</v>
      </c>
      <c r="E296" s="4">
        <v>4053</v>
      </c>
      <c r="F296" s="5">
        <v>24</v>
      </c>
    </row>
    <row r="297" spans="2:6" x14ac:dyDescent="0.3">
      <c r="B297" t="s">
        <v>7</v>
      </c>
      <c r="C297" t="s">
        <v>36</v>
      </c>
      <c r="D297" t="s">
        <v>31</v>
      </c>
      <c r="E297" s="4">
        <v>2149</v>
      </c>
      <c r="F297" s="5">
        <v>117</v>
      </c>
    </row>
    <row r="298" spans="2:6" x14ac:dyDescent="0.3">
      <c r="B298" t="s">
        <v>3</v>
      </c>
      <c r="C298" t="s">
        <v>39</v>
      </c>
      <c r="D298" t="s">
        <v>29</v>
      </c>
      <c r="E298" s="4">
        <v>3640</v>
      </c>
      <c r="F298" s="5">
        <v>51</v>
      </c>
    </row>
    <row r="299" spans="2:6" x14ac:dyDescent="0.3">
      <c r="B299" t="s">
        <v>2</v>
      </c>
      <c r="C299" t="s">
        <v>39</v>
      </c>
      <c r="D299" t="s">
        <v>23</v>
      </c>
      <c r="E299" s="4">
        <v>630</v>
      </c>
      <c r="F299" s="5">
        <v>36</v>
      </c>
    </row>
    <row r="300" spans="2:6" x14ac:dyDescent="0.3">
      <c r="B300" t="s">
        <v>9</v>
      </c>
      <c r="C300" t="s">
        <v>35</v>
      </c>
      <c r="D300" t="s">
        <v>27</v>
      </c>
      <c r="E300" s="4">
        <v>2429</v>
      </c>
      <c r="F300" s="5">
        <v>144</v>
      </c>
    </row>
    <row r="301" spans="2:6" x14ac:dyDescent="0.3">
      <c r="B301" t="s">
        <v>9</v>
      </c>
      <c r="C301" t="s">
        <v>36</v>
      </c>
      <c r="D301" t="s">
        <v>25</v>
      </c>
      <c r="E301" s="4">
        <v>2142</v>
      </c>
      <c r="F301" s="5">
        <v>114</v>
      </c>
    </row>
    <row r="302" spans="2:6" x14ac:dyDescent="0.3">
      <c r="B302" t="s">
        <v>7</v>
      </c>
      <c r="C302" t="s">
        <v>37</v>
      </c>
      <c r="D302" t="s">
        <v>30</v>
      </c>
      <c r="E302" s="4">
        <v>6454</v>
      </c>
      <c r="F302" s="5">
        <v>54</v>
      </c>
    </row>
    <row r="303" spans="2:6" x14ac:dyDescent="0.3">
      <c r="B303" t="s">
        <v>7</v>
      </c>
      <c r="C303" t="s">
        <v>37</v>
      </c>
      <c r="D303" t="s">
        <v>16</v>
      </c>
      <c r="E303" s="4">
        <v>4487</v>
      </c>
      <c r="F303" s="5">
        <v>333</v>
      </c>
    </row>
    <row r="304" spans="2:6" x14ac:dyDescent="0.3">
      <c r="B304" t="s">
        <v>3</v>
      </c>
      <c r="C304" t="s">
        <v>37</v>
      </c>
      <c r="D304" t="s">
        <v>4</v>
      </c>
      <c r="E304" s="4">
        <v>938</v>
      </c>
      <c r="F304" s="5">
        <v>366</v>
      </c>
    </row>
    <row r="305" spans="2:6" x14ac:dyDescent="0.3">
      <c r="B305" t="s">
        <v>3</v>
      </c>
      <c r="C305" t="s">
        <v>38</v>
      </c>
      <c r="D305" t="s">
        <v>26</v>
      </c>
      <c r="E305" s="4">
        <v>8841</v>
      </c>
      <c r="F305" s="5">
        <v>303</v>
      </c>
    </row>
    <row r="306" spans="2:6" x14ac:dyDescent="0.3">
      <c r="B306" t="s">
        <v>2</v>
      </c>
      <c r="C306" t="s">
        <v>39</v>
      </c>
      <c r="D306" t="s">
        <v>33</v>
      </c>
      <c r="E306" s="4">
        <v>4018</v>
      </c>
      <c r="F306" s="5">
        <v>126</v>
      </c>
    </row>
    <row r="307" spans="2:6" x14ac:dyDescent="0.3">
      <c r="B307" t="s">
        <v>41</v>
      </c>
      <c r="C307" t="s">
        <v>37</v>
      </c>
      <c r="D307" t="s">
        <v>15</v>
      </c>
      <c r="E307" s="4">
        <v>714</v>
      </c>
      <c r="F307" s="5">
        <v>231</v>
      </c>
    </row>
    <row r="308" spans="2:6" x14ac:dyDescent="0.3">
      <c r="B308" t="s">
        <v>9</v>
      </c>
      <c r="C308" t="s">
        <v>38</v>
      </c>
      <c r="D308" t="s">
        <v>25</v>
      </c>
      <c r="E308" s="4">
        <v>3850</v>
      </c>
      <c r="F308" s="5">
        <v>102</v>
      </c>
    </row>
  </sheetData>
  <conditionalFormatting sqref="E9:E308">
    <cfRule type="top10" dxfId="13" priority="6" rank="10"/>
    <cfRule type="top10" dxfId="12" priority="7" rank="10"/>
  </conditionalFormatting>
  <conditionalFormatting sqref="O12:O21">
    <cfRule type="dataBar" priority="5">
      <dataBar>
        <cfvo type="min"/>
        <cfvo type="max"/>
        <color rgb="FF638EC6"/>
      </dataBar>
      <extLst>
        <ext xmlns:x14="http://schemas.microsoft.com/office/spreadsheetml/2009/9/main" uri="{B025F937-C7B1-47D3-B67F-A62EFF666E3E}">
          <x14:id>{AC50D6C7-BDF8-453F-9BC3-21AE48C985B8}</x14:id>
        </ext>
      </extLst>
    </cfRule>
  </conditionalFormatting>
  <conditionalFormatting sqref="N12:N21">
    <cfRule type="top10" dxfId="11" priority="3" rank="10"/>
    <cfRule type="top10" dxfId="10" priority="4" rank="10"/>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C50D6C7-BDF8-453F-9BC3-21AE48C985B8}">
            <x14:dataBar minLength="0" maxLength="100" border="1" negativeBarBorderColorSameAsPositive="0">
              <x14:cfvo type="autoMin"/>
              <x14:cfvo type="autoMax"/>
              <x14:borderColor rgb="FF638EC6"/>
              <x14:negativeFillColor rgb="FFFF0000"/>
              <x14:negativeBorderColor rgb="FFFF0000"/>
              <x14:axisColor rgb="FF000000"/>
            </x14:dataBar>
          </x14:cfRule>
          <xm:sqref>O12:O21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B0B88-6095-4C39-9523-BC8D481CD1AA}">
  <sheetPr>
    <tabColor theme="1"/>
  </sheetPr>
  <dimension ref="A1:W13"/>
  <sheetViews>
    <sheetView showGridLines="0" workbookViewId="0">
      <selection activeCell="J14" sqref="J14"/>
    </sheetView>
  </sheetViews>
  <sheetFormatPr defaultRowHeight="14.4" x14ac:dyDescent="0.3"/>
  <cols>
    <col min="1" max="1" width="3.5546875" customWidth="1"/>
    <col min="2" max="2" width="12.109375" customWidth="1"/>
    <col min="3" max="3" width="12.5546875" bestFit="1" customWidth="1"/>
    <col min="6" max="6" width="12.5546875" bestFit="1" customWidth="1"/>
    <col min="10" max="10" width="12.5546875" bestFit="1" customWidth="1"/>
    <col min="13" max="13" width="12.5546875" bestFit="1" customWidth="1"/>
  </cols>
  <sheetData>
    <row r="1" spans="1:23" ht="25.8" x14ac:dyDescent="0.5">
      <c r="A1" s="24">
        <v>3</v>
      </c>
      <c r="B1" s="34" t="s">
        <v>71</v>
      </c>
      <c r="C1" s="34"/>
      <c r="D1" s="34"/>
      <c r="E1" s="34"/>
      <c r="F1" s="34"/>
      <c r="G1" s="34"/>
      <c r="H1" s="34"/>
      <c r="I1" s="34"/>
      <c r="J1" s="34"/>
      <c r="K1" s="34"/>
      <c r="L1" s="34"/>
      <c r="M1" s="34"/>
      <c r="N1" s="34"/>
      <c r="O1" s="34"/>
      <c r="P1" s="34"/>
      <c r="Q1" s="34"/>
      <c r="R1" s="34"/>
      <c r="S1" s="34"/>
      <c r="T1" s="34"/>
      <c r="U1" s="34"/>
      <c r="V1" s="34"/>
      <c r="W1" s="34"/>
    </row>
    <row r="2" spans="1:23" ht="25.8" x14ac:dyDescent="0.5">
      <c r="A2" s="24"/>
      <c r="B2" s="34"/>
      <c r="C2" s="34"/>
      <c r="D2" s="34"/>
      <c r="E2" s="34"/>
      <c r="F2" s="34"/>
      <c r="G2" s="34"/>
      <c r="H2" s="34"/>
      <c r="I2" s="34"/>
      <c r="J2" s="34"/>
      <c r="K2" s="34"/>
      <c r="L2" s="34"/>
      <c r="M2" s="34"/>
      <c r="N2" s="34"/>
      <c r="O2" s="34"/>
      <c r="P2" s="34"/>
      <c r="Q2" s="34"/>
      <c r="R2" s="34"/>
      <c r="S2" s="34"/>
      <c r="T2" s="34"/>
      <c r="U2" s="34"/>
      <c r="V2" s="34"/>
      <c r="W2" s="34"/>
    </row>
    <row r="7" spans="1:23" x14ac:dyDescent="0.3">
      <c r="E7" s="39" t="s">
        <v>72</v>
      </c>
      <c r="F7" s="71" t="s">
        <v>1</v>
      </c>
      <c r="G7" s="71"/>
      <c r="H7" s="40" t="s">
        <v>50</v>
      </c>
    </row>
    <row r="8" spans="1:23" x14ac:dyDescent="0.3">
      <c r="E8" s="38" t="s">
        <v>34</v>
      </c>
      <c r="F8" s="42">
        <f>SUMIFS(Table2[Amount], Table2[Geography], E8)</f>
        <v>252469</v>
      </c>
      <c r="G8" s="37">
        <f>F8</f>
        <v>252469</v>
      </c>
      <c r="H8" s="41">
        <f>SUMIFS(Table2[Units], Table2[Geography], E8)</f>
        <v>8760</v>
      </c>
    </row>
    <row r="9" spans="1:23" x14ac:dyDescent="0.3">
      <c r="E9" s="38" t="s">
        <v>36</v>
      </c>
      <c r="F9" s="42">
        <f>SUMIFS(Table2[Amount], Table2[Geography], E9)</f>
        <v>237944</v>
      </c>
      <c r="G9" s="37">
        <f t="shared" ref="G9:G13" si="0">F9</f>
        <v>237944</v>
      </c>
      <c r="H9" s="41">
        <f>SUMIFS(Table2[Units], Table2[Geography], E9)</f>
        <v>7302</v>
      </c>
    </row>
    <row r="10" spans="1:23" x14ac:dyDescent="0.3">
      <c r="E10" s="38" t="s">
        <v>37</v>
      </c>
      <c r="F10" s="42">
        <f>SUMIFS(Table2[Amount], Table2[Geography], E10)</f>
        <v>218813</v>
      </c>
      <c r="G10" s="37">
        <f t="shared" si="0"/>
        <v>218813</v>
      </c>
      <c r="H10" s="41">
        <f>SUMIFS(Table2[Units], Table2[Geography], E10)</f>
        <v>7431</v>
      </c>
    </row>
    <row r="11" spans="1:23" x14ac:dyDescent="0.3">
      <c r="E11" s="38" t="s">
        <v>35</v>
      </c>
      <c r="F11" s="42">
        <f>SUMIFS(Table2[Amount], Table2[Geography], E11)</f>
        <v>189434</v>
      </c>
      <c r="G11" s="37">
        <f t="shared" si="0"/>
        <v>189434</v>
      </c>
      <c r="H11" s="41">
        <f>SUMIFS(Table2[Units], Table2[Geography], E11)</f>
        <v>10158</v>
      </c>
    </row>
    <row r="12" spans="1:23" x14ac:dyDescent="0.3">
      <c r="E12" s="38" t="s">
        <v>39</v>
      </c>
      <c r="F12" s="42">
        <f>SUMIFS(Table2[Amount], Table2[Geography], E12)</f>
        <v>173530</v>
      </c>
      <c r="G12" s="37">
        <f t="shared" si="0"/>
        <v>173530</v>
      </c>
      <c r="H12" s="41">
        <f>SUMIFS(Table2[Units], Table2[Geography], E12)</f>
        <v>5745</v>
      </c>
    </row>
    <row r="13" spans="1:23" x14ac:dyDescent="0.3">
      <c r="E13" s="38" t="s">
        <v>38</v>
      </c>
      <c r="F13" s="42">
        <f>SUMIFS(Table2[Amount], Table2[Geography], E13)</f>
        <v>168679</v>
      </c>
      <c r="G13" s="37">
        <f t="shared" si="0"/>
        <v>168679</v>
      </c>
      <c r="H13" s="41">
        <f>SUMIFS(Table2[Units], Table2[Geography], E13)</f>
        <v>6264</v>
      </c>
    </row>
  </sheetData>
  <mergeCells count="1">
    <mergeCell ref="F7:G7"/>
  </mergeCells>
  <phoneticPr fontId="5" type="noConversion"/>
  <conditionalFormatting sqref="G8:G13">
    <cfRule type="dataBar" priority="2">
      <dataBar showValue="0">
        <cfvo type="min"/>
        <cfvo type="max"/>
        <color theme="4" tint="0.59999389629810485"/>
      </dataBar>
      <extLst>
        <ext xmlns:x14="http://schemas.microsoft.com/office/spreadsheetml/2009/9/main" uri="{B025F937-C7B1-47D3-B67F-A62EFF666E3E}">
          <x14:id>{89C162C7-EA81-4A69-AC8E-10E2FB2C9620}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9C162C7-EA81-4A69-AC8E-10E2FB2C9620}">
            <x14:dataBar minLength="0" maxLength="100" gradient="0">
              <x14:cfvo type="autoMin"/>
              <x14:cfvo type="autoMax"/>
              <x14:negativeFillColor rgb="FFFF0000"/>
              <x14:axisColor rgb="FF000000"/>
            </x14:dataBar>
          </x14:cfRule>
          <xm:sqref>G8:G13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0349-0133-48B2-8F61-ABE2FBB8159E}">
  <dimension ref="A1:X11"/>
  <sheetViews>
    <sheetView workbookViewId="0">
      <selection activeCell="S14" sqref="S14"/>
    </sheetView>
  </sheetViews>
  <sheetFormatPr defaultRowHeight="14.4" x14ac:dyDescent="0.3"/>
  <cols>
    <col min="1" max="1" width="4.44140625" customWidth="1"/>
    <col min="3" max="3" width="14.77734375" bestFit="1" customWidth="1"/>
    <col min="4" max="4" width="14.44140625" bestFit="1" customWidth="1"/>
    <col min="5" max="5" width="1.44140625" bestFit="1" customWidth="1"/>
    <col min="6" max="6" width="11.77734375" bestFit="1" customWidth="1"/>
  </cols>
  <sheetData>
    <row r="1" spans="1:24" ht="25.8" x14ac:dyDescent="0.5">
      <c r="A1" s="24">
        <v>4</v>
      </c>
      <c r="B1" s="34" t="s">
        <v>46</v>
      </c>
      <c r="C1" s="34"/>
      <c r="D1" s="34"/>
      <c r="E1" s="23"/>
      <c r="F1" s="23"/>
      <c r="G1" s="23"/>
      <c r="H1" s="23"/>
      <c r="I1" s="23"/>
      <c r="J1" s="23"/>
      <c r="K1" s="23"/>
      <c r="L1" s="23"/>
      <c r="M1" s="23"/>
      <c r="N1" s="23"/>
      <c r="O1" s="23"/>
      <c r="P1" s="23"/>
      <c r="Q1" s="23"/>
      <c r="R1" s="23"/>
      <c r="S1" s="23"/>
      <c r="T1" s="23"/>
      <c r="U1" s="23"/>
      <c r="V1" s="23"/>
      <c r="W1" s="23"/>
      <c r="X1" s="23"/>
    </row>
    <row r="2" spans="1:24" x14ac:dyDescent="0.3">
      <c r="A2" s="22"/>
      <c r="B2" s="23"/>
      <c r="C2" s="23"/>
      <c r="D2" s="23"/>
      <c r="E2" s="23"/>
      <c r="F2" s="23"/>
      <c r="G2" s="23"/>
      <c r="H2" s="23"/>
      <c r="I2" s="23"/>
      <c r="J2" s="23"/>
      <c r="K2" s="23"/>
      <c r="L2" s="23"/>
      <c r="M2" s="23"/>
      <c r="N2" s="23"/>
      <c r="O2" s="23"/>
      <c r="P2" s="23"/>
      <c r="Q2" s="23"/>
      <c r="R2" s="23"/>
      <c r="S2" s="23"/>
      <c r="T2" s="23"/>
      <c r="U2" s="23"/>
      <c r="V2" s="23"/>
      <c r="W2" s="23"/>
      <c r="X2" s="23"/>
    </row>
    <row r="5" spans="1:24" x14ac:dyDescent="0.3">
      <c r="C5" s="48" t="s">
        <v>73</v>
      </c>
      <c r="D5" s="47" t="s">
        <v>75</v>
      </c>
      <c r="E5" s="47" t="s">
        <v>77</v>
      </c>
      <c r="F5" s="47" t="s">
        <v>76</v>
      </c>
    </row>
    <row r="6" spans="1:24" x14ac:dyDescent="0.3">
      <c r="C6" s="44" t="s">
        <v>35</v>
      </c>
      <c r="D6" s="46">
        <v>38325</v>
      </c>
      <c r="E6" s="14">
        <v>38325</v>
      </c>
      <c r="F6" s="14">
        <v>1833</v>
      </c>
    </row>
    <row r="7" spans="1:24" x14ac:dyDescent="0.3">
      <c r="C7" s="44" t="s">
        <v>34</v>
      </c>
      <c r="D7" s="46">
        <v>24647</v>
      </c>
      <c r="E7" s="14">
        <v>24647</v>
      </c>
      <c r="F7" s="14">
        <v>735</v>
      </c>
    </row>
    <row r="8" spans="1:24" x14ac:dyDescent="0.3">
      <c r="C8" s="44" t="s">
        <v>37</v>
      </c>
      <c r="D8" s="46">
        <v>24451</v>
      </c>
      <c r="E8" s="14">
        <v>24451</v>
      </c>
      <c r="F8" s="14">
        <v>300</v>
      </c>
    </row>
    <row r="9" spans="1:24" x14ac:dyDescent="0.3">
      <c r="C9" s="44" t="s">
        <v>36</v>
      </c>
      <c r="D9" s="46">
        <v>23016</v>
      </c>
      <c r="E9" s="14">
        <v>23016</v>
      </c>
      <c r="F9" s="14">
        <v>663</v>
      </c>
    </row>
    <row r="10" spans="1:24" x14ac:dyDescent="0.3">
      <c r="C10" s="44" t="s">
        <v>39</v>
      </c>
      <c r="D10" s="46">
        <v>21063</v>
      </c>
      <c r="E10" s="14">
        <v>21063</v>
      </c>
      <c r="F10" s="14">
        <v>444</v>
      </c>
    </row>
    <row r="11" spans="1:24" x14ac:dyDescent="0.3">
      <c r="C11" s="44" t="s">
        <v>38</v>
      </c>
      <c r="D11" s="45">
        <v>20097</v>
      </c>
      <c r="E11" s="14">
        <v>20097</v>
      </c>
      <c r="F11" s="14">
        <v>711</v>
      </c>
    </row>
  </sheetData>
  <conditionalFormatting pivot="1" sqref="E6:E11">
    <cfRule type="dataBar" priority="1">
      <dataBar showValue="0">
        <cfvo type="min"/>
        <cfvo type="max"/>
        <color rgb="FF63C384"/>
      </dataBar>
      <extLst>
        <ext xmlns:x14="http://schemas.microsoft.com/office/spreadsheetml/2009/9/main" uri="{B025F937-C7B1-47D3-B67F-A62EFF666E3E}">
          <x14:id>{68E188BD-1E39-4B24-9AB1-C8EA025308FA}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68E188BD-1E39-4B24-9AB1-C8EA025308FA}">
            <x14:dataBar minLength="0" maxLength="100" gradient="0">
              <x14:cfvo type="autoMin"/>
              <x14:cfvo type="autoMax"/>
              <x14:negativeFillColor rgb="FFFF0000"/>
              <x14:axisColor rgb="FF000000"/>
            </x14:dataBar>
          </x14:cfRule>
          <xm:sqref>E6:E11</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E14C-72BE-4B90-A0A6-2CD60B1D3534}">
  <dimension ref="A1:X15"/>
  <sheetViews>
    <sheetView topLeftCell="A4" workbookViewId="0">
      <selection activeCell="C9" sqref="C9"/>
    </sheetView>
  </sheetViews>
  <sheetFormatPr defaultRowHeight="14.4" x14ac:dyDescent="0.3"/>
  <cols>
    <col min="1" max="1" width="3.21875" customWidth="1"/>
    <col min="3" max="3" width="17.77734375" bestFit="1" customWidth="1"/>
    <col min="4" max="6" width="12.21875" bestFit="1" customWidth="1"/>
  </cols>
  <sheetData>
    <row r="1" spans="1:24" ht="25.8" x14ac:dyDescent="0.5">
      <c r="A1" s="50">
        <v>5</v>
      </c>
      <c r="B1" s="51" t="s">
        <v>78</v>
      </c>
      <c r="C1" s="51"/>
      <c r="D1" s="51"/>
      <c r="E1" s="51"/>
      <c r="F1" s="51"/>
      <c r="G1" s="34"/>
      <c r="H1" s="34"/>
      <c r="I1" s="34"/>
      <c r="J1" s="34"/>
      <c r="K1" s="34"/>
      <c r="L1" s="34"/>
      <c r="M1" s="34"/>
      <c r="N1" s="34"/>
      <c r="O1" s="34"/>
      <c r="P1" s="34"/>
      <c r="Q1" s="34"/>
      <c r="R1" s="34"/>
      <c r="S1" s="34"/>
      <c r="T1" s="34"/>
      <c r="U1" s="34"/>
      <c r="V1" s="34"/>
      <c r="W1" s="34"/>
      <c r="X1" s="34"/>
    </row>
    <row r="2" spans="1:24" ht="25.8" x14ac:dyDescent="0.5">
      <c r="A2" s="49"/>
      <c r="B2" s="34"/>
      <c r="C2" s="34"/>
      <c r="D2" s="34"/>
      <c r="E2" s="34"/>
      <c r="F2" s="34"/>
      <c r="G2" s="34"/>
      <c r="H2" s="34"/>
      <c r="I2" s="34"/>
      <c r="J2" s="34"/>
      <c r="K2" s="34"/>
      <c r="L2" s="34"/>
      <c r="M2" s="34"/>
      <c r="N2" s="34"/>
      <c r="O2" s="34"/>
      <c r="P2" s="34"/>
      <c r="Q2" s="34"/>
      <c r="R2" s="34"/>
      <c r="S2" s="34"/>
      <c r="T2" s="34"/>
      <c r="U2" s="34"/>
      <c r="V2" s="34"/>
      <c r="W2" s="34"/>
      <c r="X2" s="34"/>
    </row>
    <row r="9" spans="1:24" x14ac:dyDescent="0.3">
      <c r="C9" s="43" t="s">
        <v>73</v>
      </c>
      <c r="D9" t="s">
        <v>79</v>
      </c>
    </row>
    <row r="10" spans="1:24" x14ac:dyDescent="0.3">
      <c r="C10" s="44" t="s">
        <v>24</v>
      </c>
      <c r="D10" s="52">
        <v>33.88697318007663</v>
      </c>
    </row>
    <row r="11" spans="1:24" x14ac:dyDescent="0.3">
      <c r="C11" s="44" t="s">
        <v>22</v>
      </c>
      <c r="D11" s="52">
        <v>32.301656920077974</v>
      </c>
    </row>
    <row r="12" spans="1:24" x14ac:dyDescent="0.3">
      <c r="C12" s="44" t="s">
        <v>26</v>
      </c>
      <c r="D12" s="52">
        <v>32.807189542483663</v>
      </c>
    </row>
    <row r="13" spans="1:24" x14ac:dyDescent="0.3">
      <c r="C13" s="44" t="s">
        <v>33</v>
      </c>
      <c r="D13" s="52">
        <v>37.303128371089535</v>
      </c>
    </row>
    <row r="14" spans="1:24" x14ac:dyDescent="0.3">
      <c r="C14" s="44" t="s">
        <v>15</v>
      </c>
      <c r="D14" s="52">
        <v>44.990867579908674</v>
      </c>
    </row>
    <row r="15" spans="1:24" x14ac:dyDescent="0.3">
      <c r="C15" s="44" t="s">
        <v>74</v>
      </c>
      <c r="D15" s="52">
        <v>35.949565217391303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BCEAE-705D-4343-8C3D-AC69A4A0D91B}">
  <dimension ref="A1:X305"/>
  <sheetViews>
    <sheetView workbookViewId="0">
      <selection activeCell="R7" sqref="R7"/>
    </sheetView>
  </sheetViews>
  <sheetFormatPr defaultRowHeight="14.4" x14ac:dyDescent="0.3"/>
  <cols>
    <col min="1" max="1" width="3" customWidth="1"/>
    <col min="4" max="4" width="12.109375" customWidth="1"/>
    <col min="5" max="5" width="12.33203125" customWidth="1"/>
    <col min="6" max="6" width="20.109375" customWidth="1"/>
  </cols>
  <sheetData>
    <row r="1" spans="1:24" ht="26.4" x14ac:dyDescent="0.5">
      <c r="A1" s="53">
        <v>6</v>
      </c>
      <c r="B1" s="34" t="s">
        <v>80</v>
      </c>
      <c r="C1" s="23"/>
      <c r="D1" s="23"/>
      <c r="E1" s="23"/>
      <c r="F1" s="23"/>
      <c r="G1" s="23"/>
      <c r="H1" s="23"/>
      <c r="I1" s="23"/>
      <c r="J1" s="23"/>
      <c r="K1" s="23"/>
      <c r="L1" s="23"/>
      <c r="M1" s="23"/>
      <c r="N1" s="23"/>
      <c r="O1" s="23"/>
      <c r="P1" s="23"/>
      <c r="Q1" s="23"/>
      <c r="R1" s="23"/>
      <c r="S1" s="23"/>
      <c r="T1" s="23"/>
      <c r="U1" s="23"/>
      <c r="V1" s="23"/>
      <c r="W1" s="23"/>
      <c r="X1" s="23"/>
    </row>
    <row r="2" spans="1:24" ht="25.8" x14ac:dyDescent="0.5">
      <c r="A2" s="24"/>
      <c r="B2" s="23"/>
      <c r="C2" s="23"/>
      <c r="D2" s="23"/>
      <c r="E2" s="23"/>
      <c r="F2" s="23"/>
      <c r="G2" s="23"/>
      <c r="H2" s="23"/>
      <c r="I2" s="23"/>
      <c r="J2" s="23"/>
      <c r="K2" s="23"/>
      <c r="L2" s="23"/>
      <c r="M2" s="23"/>
      <c r="N2" s="23"/>
      <c r="O2" s="23"/>
      <c r="P2" s="23"/>
      <c r="Q2" s="23"/>
      <c r="R2" s="23"/>
      <c r="S2" s="23"/>
      <c r="T2" s="23"/>
      <c r="U2" s="23"/>
      <c r="V2" s="23"/>
      <c r="W2" s="23"/>
      <c r="X2" s="23"/>
    </row>
    <row r="5" spans="1:24" x14ac:dyDescent="0.3">
      <c r="D5" s="6" t="s">
        <v>11</v>
      </c>
      <c r="E5" s="6" t="s">
        <v>12</v>
      </c>
      <c r="F5" s="6" t="s">
        <v>0</v>
      </c>
      <c r="G5" s="10" t="s">
        <v>1</v>
      </c>
      <c r="H5" s="10" t="s">
        <v>50</v>
      </c>
    </row>
    <row r="6" spans="1:24" x14ac:dyDescent="0.3">
      <c r="D6" t="s">
        <v>40</v>
      </c>
      <c r="E6" t="s">
        <v>37</v>
      </c>
      <c r="F6" t="s">
        <v>30</v>
      </c>
      <c r="G6" s="4">
        <v>1624</v>
      </c>
      <c r="H6" s="5">
        <v>114</v>
      </c>
    </row>
    <row r="7" spans="1:24" x14ac:dyDescent="0.3">
      <c r="D7" t="s">
        <v>8</v>
      </c>
      <c r="E7" t="s">
        <v>35</v>
      </c>
      <c r="F7" t="s">
        <v>32</v>
      </c>
      <c r="G7" s="4">
        <v>6706</v>
      </c>
      <c r="H7" s="5">
        <v>459</v>
      </c>
    </row>
    <row r="8" spans="1:24" x14ac:dyDescent="0.3">
      <c r="D8" t="s">
        <v>9</v>
      </c>
      <c r="E8" t="s">
        <v>35</v>
      </c>
      <c r="F8" t="s">
        <v>4</v>
      </c>
      <c r="G8" s="4">
        <v>959</v>
      </c>
      <c r="H8" s="5">
        <v>147</v>
      </c>
    </row>
    <row r="9" spans="1:24" x14ac:dyDescent="0.3">
      <c r="D9" t="s">
        <v>41</v>
      </c>
      <c r="E9" t="s">
        <v>36</v>
      </c>
      <c r="F9" t="s">
        <v>18</v>
      </c>
      <c r="G9" s="4">
        <v>9632</v>
      </c>
      <c r="H9" s="5">
        <v>288</v>
      </c>
    </row>
    <row r="10" spans="1:24" x14ac:dyDescent="0.3">
      <c r="D10" t="s">
        <v>6</v>
      </c>
      <c r="E10" t="s">
        <v>39</v>
      </c>
      <c r="F10" t="s">
        <v>25</v>
      </c>
      <c r="G10" s="4">
        <v>2100</v>
      </c>
      <c r="H10" s="5">
        <v>414</v>
      </c>
    </row>
    <row r="11" spans="1:24" x14ac:dyDescent="0.3">
      <c r="D11" t="s">
        <v>40</v>
      </c>
      <c r="E11" t="s">
        <v>35</v>
      </c>
      <c r="F11" t="s">
        <v>33</v>
      </c>
      <c r="G11" s="4">
        <v>8869</v>
      </c>
      <c r="H11" s="5">
        <v>432</v>
      </c>
    </row>
    <row r="12" spans="1:24" x14ac:dyDescent="0.3">
      <c r="D12" t="s">
        <v>6</v>
      </c>
      <c r="E12" t="s">
        <v>38</v>
      </c>
      <c r="F12" t="s">
        <v>31</v>
      </c>
      <c r="G12" s="4">
        <v>2681</v>
      </c>
      <c r="H12" s="5">
        <v>54</v>
      </c>
    </row>
    <row r="13" spans="1:24" x14ac:dyDescent="0.3">
      <c r="D13" t="s">
        <v>8</v>
      </c>
      <c r="E13" t="s">
        <v>35</v>
      </c>
      <c r="F13" t="s">
        <v>22</v>
      </c>
      <c r="G13" s="4">
        <v>5012</v>
      </c>
      <c r="H13" s="5">
        <v>210</v>
      </c>
    </row>
    <row r="14" spans="1:24" x14ac:dyDescent="0.3">
      <c r="D14" t="s">
        <v>7</v>
      </c>
      <c r="E14" t="s">
        <v>38</v>
      </c>
      <c r="F14" t="s">
        <v>14</v>
      </c>
      <c r="G14" s="4">
        <v>1281</v>
      </c>
      <c r="H14" s="5">
        <v>75</v>
      </c>
    </row>
    <row r="15" spans="1:24" x14ac:dyDescent="0.3">
      <c r="D15" t="s">
        <v>5</v>
      </c>
      <c r="E15" t="s">
        <v>37</v>
      </c>
      <c r="F15" t="s">
        <v>14</v>
      </c>
      <c r="G15" s="4">
        <v>4991</v>
      </c>
      <c r="H15" s="5">
        <v>12</v>
      </c>
    </row>
    <row r="16" spans="1:24" x14ac:dyDescent="0.3">
      <c r="D16" t="s">
        <v>2</v>
      </c>
      <c r="E16" t="s">
        <v>39</v>
      </c>
      <c r="F16" t="s">
        <v>25</v>
      </c>
      <c r="G16" s="4">
        <v>1785</v>
      </c>
      <c r="H16" s="5">
        <v>462</v>
      </c>
    </row>
    <row r="17" spans="4:8" x14ac:dyDescent="0.3">
      <c r="D17" t="s">
        <v>3</v>
      </c>
      <c r="E17" t="s">
        <v>37</v>
      </c>
      <c r="F17" t="s">
        <v>17</v>
      </c>
      <c r="G17" s="4">
        <v>3983</v>
      </c>
      <c r="H17" s="5">
        <v>144</v>
      </c>
    </row>
    <row r="18" spans="4:8" x14ac:dyDescent="0.3">
      <c r="D18" t="s">
        <v>9</v>
      </c>
      <c r="E18" t="s">
        <v>38</v>
      </c>
      <c r="F18" t="s">
        <v>16</v>
      </c>
      <c r="G18" s="4">
        <v>2646</v>
      </c>
      <c r="H18" s="5">
        <v>120</v>
      </c>
    </row>
    <row r="19" spans="4:8" x14ac:dyDescent="0.3">
      <c r="D19" t="s">
        <v>2</v>
      </c>
      <c r="E19" t="s">
        <v>34</v>
      </c>
      <c r="F19" t="s">
        <v>13</v>
      </c>
      <c r="G19" s="4">
        <v>252</v>
      </c>
      <c r="H19" s="5">
        <v>54</v>
      </c>
    </row>
    <row r="20" spans="4:8" x14ac:dyDescent="0.3">
      <c r="D20" t="s">
        <v>3</v>
      </c>
      <c r="E20" t="s">
        <v>35</v>
      </c>
      <c r="F20" t="s">
        <v>25</v>
      </c>
      <c r="G20" s="4">
        <v>2464</v>
      </c>
      <c r="H20" s="5">
        <v>234</v>
      </c>
    </row>
    <row r="21" spans="4:8" x14ac:dyDescent="0.3">
      <c r="D21" t="s">
        <v>3</v>
      </c>
      <c r="E21" t="s">
        <v>35</v>
      </c>
      <c r="F21" t="s">
        <v>29</v>
      </c>
      <c r="G21" s="4">
        <v>2114</v>
      </c>
      <c r="H21" s="5">
        <v>66</v>
      </c>
    </row>
    <row r="22" spans="4:8" x14ac:dyDescent="0.3">
      <c r="D22" t="s">
        <v>6</v>
      </c>
      <c r="E22" t="s">
        <v>37</v>
      </c>
      <c r="F22" t="s">
        <v>31</v>
      </c>
      <c r="G22" s="4">
        <v>7693</v>
      </c>
      <c r="H22" s="5">
        <v>87</v>
      </c>
    </row>
    <row r="23" spans="4:8" x14ac:dyDescent="0.3">
      <c r="D23" t="s">
        <v>5</v>
      </c>
      <c r="E23" t="s">
        <v>34</v>
      </c>
      <c r="F23" t="s">
        <v>20</v>
      </c>
      <c r="G23" s="4">
        <v>15610</v>
      </c>
      <c r="H23" s="5">
        <v>339</v>
      </c>
    </row>
    <row r="24" spans="4:8" x14ac:dyDescent="0.3">
      <c r="D24" t="s">
        <v>41</v>
      </c>
      <c r="E24" t="s">
        <v>34</v>
      </c>
      <c r="F24" t="s">
        <v>22</v>
      </c>
      <c r="G24" s="4">
        <v>336</v>
      </c>
      <c r="H24" s="5">
        <v>144</v>
      </c>
    </row>
    <row r="25" spans="4:8" x14ac:dyDescent="0.3">
      <c r="D25" t="s">
        <v>2</v>
      </c>
      <c r="E25" t="s">
        <v>39</v>
      </c>
      <c r="F25" t="s">
        <v>20</v>
      </c>
      <c r="G25" s="4">
        <v>9443</v>
      </c>
      <c r="H25" s="5">
        <v>162</v>
      </c>
    </row>
    <row r="26" spans="4:8" x14ac:dyDescent="0.3">
      <c r="D26" t="s">
        <v>9</v>
      </c>
      <c r="E26" t="s">
        <v>34</v>
      </c>
      <c r="F26" t="s">
        <v>23</v>
      </c>
      <c r="G26" s="4">
        <v>8155</v>
      </c>
      <c r="H26" s="5">
        <v>90</v>
      </c>
    </row>
    <row r="27" spans="4:8" x14ac:dyDescent="0.3">
      <c r="D27" t="s">
        <v>8</v>
      </c>
      <c r="E27" t="s">
        <v>38</v>
      </c>
      <c r="F27" t="s">
        <v>23</v>
      </c>
      <c r="G27" s="4">
        <v>1701</v>
      </c>
      <c r="H27" s="5">
        <v>234</v>
      </c>
    </row>
    <row r="28" spans="4:8" x14ac:dyDescent="0.3">
      <c r="D28" t="s">
        <v>10</v>
      </c>
      <c r="E28" t="s">
        <v>38</v>
      </c>
      <c r="F28" t="s">
        <v>22</v>
      </c>
      <c r="G28" s="4">
        <v>2205</v>
      </c>
      <c r="H28" s="5">
        <v>141</v>
      </c>
    </row>
    <row r="29" spans="4:8" x14ac:dyDescent="0.3">
      <c r="D29" t="s">
        <v>8</v>
      </c>
      <c r="E29" t="s">
        <v>37</v>
      </c>
      <c r="F29" t="s">
        <v>19</v>
      </c>
      <c r="G29" s="4">
        <v>1771</v>
      </c>
      <c r="H29" s="5">
        <v>204</v>
      </c>
    </row>
    <row r="30" spans="4:8" x14ac:dyDescent="0.3">
      <c r="D30" t="s">
        <v>41</v>
      </c>
      <c r="E30" t="s">
        <v>35</v>
      </c>
      <c r="F30" t="s">
        <v>15</v>
      </c>
      <c r="G30" s="4">
        <v>2114</v>
      </c>
      <c r="H30" s="5">
        <v>186</v>
      </c>
    </row>
    <row r="31" spans="4:8" x14ac:dyDescent="0.3">
      <c r="D31" t="s">
        <v>41</v>
      </c>
      <c r="E31" t="s">
        <v>36</v>
      </c>
      <c r="F31" t="s">
        <v>13</v>
      </c>
      <c r="G31" s="4">
        <v>10311</v>
      </c>
      <c r="H31" s="5">
        <v>231</v>
      </c>
    </row>
    <row r="32" spans="4:8" x14ac:dyDescent="0.3">
      <c r="D32" t="s">
        <v>3</v>
      </c>
      <c r="E32" t="s">
        <v>39</v>
      </c>
      <c r="F32" t="s">
        <v>16</v>
      </c>
      <c r="G32" s="4">
        <v>21</v>
      </c>
      <c r="H32" s="5">
        <v>168</v>
      </c>
    </row>
    <row r="33" spans="4:8" x14ac:dyDescent="0.3">
      <c r="D33" t="s">
        <v>10</v>
      </c>
      <c r="E33" t="s">
        <v>35</v>
      </c>
      <c r="F33" t="s">
        <v>20</v>
      </c>
      <c r="G33" s="4">
        <v>1974</v>
      </c>
      <c r="H33" s="5">
        <v>195</v>
      </c>
    </row>
    <row r="34" spans="4:8" x14ac:dyDescent="0.3">
      <c r="D34" t="s">
        <v>5</v>
      </c>
      <c r="E34" t="s">
        <v>36</v>
      </c>
      <c r="F34" t="s">
        <v>23</v>
      </c>
      <c r="G34" s="4">
        <v>6314</v>
      </c>
      <c r="H34" s="5">
        <v>15</v>
      </c>
    </row>
    <row r="35" spans="4:8" x14ac:dyDescent="0.3">
      <c r="D35" t="s">
        <v>10</v>
      </c>
      <c r="E35" t="s">
        <v>37</v>
      </c>
      <c r="F35" t="s">
        <v>23</v>
      </c>
      <c r="G35" s="4">
        <v>4683</v>
      </c>
      <c r="H35" s="5">
        <v>30</v>
      </c>
    </row>
    <row r="36" spans="4:8" x14ac:dyDescent="0.3">
      <c r="D36" t="s">
        <v>41</v>
      </c>
      <c r="E36" t="s">
        <v>37</v>
      </c>
      <c r="F36" t="s">
        <v>24</v>
      </c>
      <c r="G36" s="4">
        <v>6398</v>
      </c>
      <c r="H36" s="5">
        <v>102</v>
      </c>
    </row>
    <row r="37" spans="4:8" x14ac:dyDescent="0.3">
      <c r="D37" t="s">
        <v>2</v>
      </c>
      <c r="E37" t="s">
        <v>35</v>
      </c>
      <c r="F37" t="s">
        <v>19</v>
      </c>
      <c r="G37" s="4">
        <v>553</v>
      </c>
      <c r="H37" s="5">
        <v>15</v>
      </c>
    </row>
    <row r="38" spans="4:8" x14ac:dyDescent="0.3">
      <c r="D38" t="s">
        <v>8</v>
      </c>
      <c r="E38" t="s">
        <v>39</v>
      </c>
      <c r="F38" t="s">
        <v>30</v>
      </c>
      <c r="G38" s="4">
        <v>7021</v>
      </c>
      <c r="H38" s="5">
        <v>183</v>
      </c>
    </row>
    <row r="39" spans="4:8" x14ac:dyDescent="0.3">
      <c r="D39" t="s">
        <v>40</v>
      </c>
      <c r="E39" t="s">
        <v>39</v>
      </c>
      <c r="F39" t="s">
        <v>22</v>
      </c>
      <c r="G39" s="4">
        <v>5817</v>
      </c>
      <c r="H39" s="5">
        <v>12</v>
      </c>
    </row>
    <row r="40" spans="4:8" x14ac:dyDescent="0.3">
      <c r="D40" t="s">
        <v>41</v>
      </c>
      <c r="E40" t="s">
        <v>39</v>
      </c>
      <c r="F40" t="s">
        <v>14</v>
      </c>
      <c r="G40" s="4">
        <v>3976</v>
      </c>
      <c r="H40" s="5">
        <v>72</v>
      </c>
    </row>
    <row r="41" spans="4:8" x14ac:dyDescent="0.3">
      <c r="D41" t="s">
        <v>6</v>
      </c>
      <c r="E41" t="s">
        <v>38</v>
      </c>
      <c r="F41" t="s">
        <v>27</v>
      </c>
      <c r="G41" s="4">
        <v>1134</v>
      </c>
      <c r="H41" s="5">
        <v>282</v>
      </c>
    </row>
    <row r="42" spans="4:8" x14ac:dyDescent="0.3">
      <c r="D42" t="s">
        <v>2</v>
      </c>
      <c r="E42" t="s">
        <v>39</v>
      </c>
      <c r="F42" t="s">
        <v>28</v>
      </c>
      <c r="G42" s="4">
        <v>6027</v>
      </c>
      <c r="H42" s="5">
        <v>144</v>
      </c>
    </row>
    <row r="43" spans="4:8" x14ac:dyDescent="0.3">
      <c r="D43" t="s">
        <v>6</v>
      </c>
      <c r="E43" t="s">
        <v>37</v>
      </c>
      <c r="F43" t="s">
        <v>16</v>
      </c>
      <c r="G43" s="4">
        <v>1904</v>
      </c>
      <c r="H43" s="5">
        <v>405</v>
      </c>
    </row>
    <row r="44" spans="4:8" x14ac:dyDescent="0.3">
      <c r="D44" t="s">
        <v>7</v>
      </c>
      <c r="E44" t="s">
        <v>34</v>
      </c>
      <c r="F44" t="s">
        <v>32</v>
      </c>
      <c r="G44" s="4">
        <v>3262</v>
      </c>
      <c r="H44" s="5">
        <v>75</v>
      </c>
    </row>
    <row r="45" spans="4:8" x14ac:dyDescent="0.3">
      <c r="D45" t="s">
        <v>40</v>
      </c>
      <c r="E45" t="s">
        <v>34</v>
      </c>
      <c r="F45" t="s">
        <v>27</v>
      </c>
      <c r="G45" s="4">
        <v>2289</v>
      </c>
      <c r="H45" s="5">
        <v>135</v>
      </c>
    </row>
    <row r="46" spans="4:8" x14ac:dyDescent="0.3">
      <c r="D46" t="s">
        <v>5</v>
      </c>
      <c r="E46" t="s">
        <v>34</v>
      </c>
      <c r="F46" t="s">
        <v>27</v>
      </c>
      <c r="G46" s="4">
        <v>6986</v>
      </c>
      <c r="H46" s="5">
        <v>21</v>
      </c>
    </row>
    <row r="47" spans="4:8" x14ac:dyDescent="0.3">
      <c r="D47" t="s">
        <v>2</v>
      </c>
      <c r="E47" t="s">
        <v>38</v>
      </c>
      <c r="F47" t="s">
        <v>23</v>
      </c>
      <c r="G47" s="4">
        <v>4417</v>
      </c>
      <c r="H47" s="5">
        <v>153</v>
      </c>
    </row>
    <row r="48" spans="4:8" x14ac:dyDescent="0.3">
      <c r="D48" t="s">
        <v>6</v>
      </c>
      <c r="E48" t="s">
        <v>34</v>
      </c>
      <c r="F48" t="s">
        <v>15</v>
      </c>
      <c r="G48" s="4">
        <v>1442</v>
      </c>
      <c r="H48" s="5">
        <v>15</v>
      </c>
    </row>
    <row r="49" spans="4:8" x14ac:dyDescent="0.3">
      <c r="D49" t="s">
        <v>3</v>
      </c>
      <c r="E49" t="s">
        <v>35</v>
      </c>
      <c r="F49" t="s">
        <v>14</v>
      </c>
      <c r="G49" s="4">
        <v>2415</v>
      </c>
      <c r="H49" s="5">
        <v>255</v>
      </c>
    </row>
    <row r="50" spans="4:8" x14ac:dyDescent="0.3">
      <c r="D50" t="s">
        <v>2</v>
      </c>
      <c r="E50" t="s">
        <v>37</v>
      </c>
      <c r="F50" t="s">
        <v>19</v>
      </c>
      <c r="G50" s="4">
        <v>238</v>
      </c>
      <c r="H50" s="5">
        <v>18</v>
      </c>
    </row>
    <row r="51" spans="4:8" x14ac:dyDescent="0.3">
      <c r="D51" t="s">
        <v>6</v>
      </c>
      <c r="E51" t="s">
        <v>37</v>
      </c>
      <c r="F51" t="s">
        <v>23</v>
      </c>
      <c r="G51" s="4">
        <v>4949</v>
      </c>
      <c r="H51" s="5">
        <v>189</v>
      </c>
    </row>
    <row r="52" spans="4:8" x14ac:dyDescent="0.3">
      <c r="D52" t="s">
        <v>5</v>
      </c>
      <c r="E52" t="s">
        <v>38</v>
      </c>
      <c r="F52" t="s">
        <v>32</v>
      </c>
      <c r="G52" s="4">
        <v>5075</v>
      </c>
      <c r="H52" s="5">
        <v>21</v>
      </c>
    </row>
    <row r="53" spans="4:8" x14ac:dyDescent="0.3">
      <c r="D53" t="s">
        <v>3</v>
      </c>
      <c r="E53" t="s">
        <v>36</v>
      </c>
      <c r="F53" t="s">
        <v>16</v>
      </c>
      <c r="G53" s="4">
        <v>9198</v>
      </c>
      <c r="H53" s="5">
        <v>36</v>
      </c>
    </row>
    <row r="54" spans="4:8" x14ac:dyDescent="0.3">
      <c r="D54" t="s">
        <v>6</v>
      </c>
      <c r="E54" t="s">
        <v>34</v>
      </c>
      <c r="F54" t="s">
        <v>29</v>
      </c>
      <c r="G54" s="4">
        <v>3339</v>
      </c>
      <c r="H54" s="5">
        <v>75</v>
      </c>
    </row>
    <row r="55" spans="4:8" x14ac:dyDescent="0.3">
      <c r="D55" t="s">
        <v>40</v>
      </c>
      <c r="E55" t="s">
        <v>34</v>
      </c>
      <c r="F55" t="s">
        <v>17</v>
      </c>
      <c r="G55" s="4">
        <v>5019</v>
      </c>
      <c r="H55" s="5">
        <v>156</v>
      </c>
    </row>
    <row r="56" spans="4:8" x14ac:dyDescent="0.3">
      <c r="D56" t="s">
        <v>5</v>
      </c>
      <c r="E56" t="s">
        <v>36</v>
      </c>
      <c r="F56" t="s">
        <v>16</v>
      </c>
      <c r="G56" s="4">
        <v>16184</v>
      </c>
      <c r="H56" s="5">
        <v>39</v>
      </c>
    </row>
    <row r="57" spans="4:8" x14ac:dyDescent="0.3">
      <c r="D57" t="s">
        <v>6</v>
      </c>
      <c r="E57" t="s">
        <v>36</v>
      </c>
      <c r="F57" t="s">
        <v>21</v>
      </c>
      <c r="G57" s="4">
        <v>497</v>
      </c>
      <c r="H57" s="5">
        <v>63</v>
      </c>
    </row>
    <row r="58" spans="4:8" x14ac:dyDescent="0.3">
      <c r="D58" t="s">
        <v>2</v>
      </c>
      <c r="E58" t="s">
        <v>36</v>
      </c>
      <c r="F58" t="s">
        <v>29</v>
      </c>
      <c r="G58" s="4">
        <v>8211</v>
      </c>
      <c r="H58" s="5">
        <v>75</v>
      </c>
    </row>
    <row r="59" spans="4:8" x14ac:dyDescent="0.3">
      <c r="D59" t="s">
        <v>2</v>
      </c>
      <c r="E59" t="s">
        <v>38</v>
      </c>
      <c r="F59" t="s">
        <v>28</v>
      </c>
      <c r="G59" s="4">
        <v>6580</v>
      </c>
      <c r="H59" s="5">
        <v>183</v>
      </c>
    </row>
    <row r="60" spans="4:8" x14ac:dyDescent="0.3">
      <c r="D60" t="s">
        <v>41</v>
      </c>
      <c r="E60" t="s">
        <v>35</v>
      </c>
      <c r="F60" t="s">
        <v>13</v>
      </c>
      <c r="G60" s="4">
        <v>4760</v>
      </c>
      <c r="H60" s="5">
        <v>69</v>
      </c>
    </row>
    <row r="61" spans="4:8" x14ac:dyDescent="0.3">
      <c r="D61" t="s">
        <v>40</v>
      </c>
      <c r="E61" t="s">
        <v>36</v>
      </c>
      <c r="F61" t="s">
        <v>25</v>
      </c>
      <c r="G61" s="4">
        <v>5439</v>
      </c>
      <c r="H61" s="5">
        <v>30</v>
      </c>
    </row>
    <row r="62" spans="4:8" x14ac:dyDescent="0.3">
      <c r="D62" t="s">
        <v>41</v>
      </c>
      <c r="E62" t="s">
        <v>34</v>
      </c>
      <c r="F62" t="s">
        <v>17</v>
      </c>
      <c r="G62" s="4">
        <v>1463</v>
      </c>
      <c r="H62" s="5">
        <v>39</v>
      </c>
    </row>
    <row r="63" spans="4:8" x14ac:dyDescent="0.3">
      <c r="D63" t="s">
        <v>3</v>
      </c>
      <c r="E63" t="s">
        <v>34</v>
      </c>
      <c r="F63" t="s">
        <v>32</v>
      </c>
      <c r="G63" s="4">
        <v>7777</v>
      </c>
      <c r="H63" s="5">
        <v>504</v>
      </c>
    </row>
    <row r="64" spans="4:8" x14ac:dyDescent="0.3">
      <c r="D64" t="s">
        <v>9</v>
      </c>
      <c r="E64" t="s">
        <v>37</v>
      </c>
      <c r="F64" t="s">
        <v>29</v>
      </c>
      <c r="G64" s="4">
        <v>1085</v>
      </c>
      <c r="H64" s="5">
        <v>273</v>
      </c>
    </row>
    <row r="65" spans="4:8" x14ac:dyDescent="0.3">
      <c r="D65" t="s">
        <v>5</v>
      </c>
      <c r="E65" t="s">
        <v>37</v>
      </c>
      <c r="F65" t="s">
        <v>31</v>
      </c>
      <c r="G65" s="4">
        <v>182</v>
      </c>
      <c r="H65" s="5">
        <v>48</v>
      </c>
    </row>
    <row r="66" spans="4:8" x14ac:dyDescent="0.3">
      <c r="D66" t="s">
        <v>6</v>
      </c>
      <c r="E66" t="s">
        <v>34</v>
      </c>
      <c r="F66" t="s">
        <v>27</v>
      </c>
      <c r="G66" s="4">
        <v>4242</v>
      </c>
      <c r="H66" s="5">
        <v>207</v>
      </c>
    </row>
    <row r="67" spans="4:8" x14ac:dyDescent="0.3">
      <c r="D67" t="s">
        <v>6</v>
      </c>
      <c r="E67" t="s">
        <v>36</v>
      </c>
      <c r="F67" t="s">
        <v>32</v>
      </c>
      <c r="G67" s="4">
        <v>6118</v>
      </c>
      <c r="H67" s="5">
        <v>9</v>
      </c>
    </row>
    <row r="68" spans="4:8" x14ac:dyDescent="0.3">
      <c r="D68" t="s">
        <v>10</v>
      </c>
      <c r="E68" t="s">
        <v>36</v>
      </c>
      <c r="F68" t="s">
        <v>23</v>
      </c>
      <c r="G68" s="4">
        <v>2317</v>
      </c>
      <c r="H68" s="5">
        <v>261</v>
      </c>
    </row>
    <row r="69" spans="4:8" x14ac:dyDescent="0.3">
      <c r="D69" t="s">
        <v>6</v>
      </c>
      <c r="E69" t="s">
        <v>38</v>
      </c>
      <c r="F69" t="s">
        <v>16</v>
      </c>
      <c r="G69" s="4">
        <v>938</v>
      </c>
      <c r="H69" s="5">
        <v>6</v>
      </c>
    </row>
    <row r="70" spans="4:8" x14ac:dyDescent="0.3">
      <c r="D70" t="s">
        <v>8</v>
      </c>
      <c r="E70" t="s">
        <v>37</v>
      </c>
      <c r="F70" t="s">
        <v>15</v>
      </c>
      <c r="G70" s="4">
        <v>9709</v>
      </c>
      <c r="H70" s="5">
        <v>30</v>
      </c>
    </row>
    <row r="71" spans="4:8" x14ac:dyDescent="0.3">
      <c r="D71" t="s">
        <v>7</v>
      </c>
      <c r="E71" t="s">
        <v>34</v>
      </c>
      <c r="F71" t="s">
        <v>20</v>
      </c>
      <c r="G71" s="4">
        <v>2205</v>
      </c>
      <c r="H71" s="5">
        <v>138</v>
      </c>
    </row>
    <row r="72" spans="4:8" x14ac:dyDescent="0.3">
      <c r="D72" t="s">
        <v>7</v>
      </c>
      <c r="E72" t="s">
        <v>37</v>
      </c>
      <c r="F72" t="s">
        <v>17</v>
      </c>
      <c r="G72" s="4">
        <v>4487</v>
      </c>
      <c r="H72" s="5">
        <v>111</v>
      </c>
    </row>
    <row r="73" spans="4:8" x14ac:dyDescent="0.3">
      <c r="D73" t="s">
        <v>5</v>
      </c>
      <c r="E73" t="s">
        <v>35</v>
      </c>
      <c r="F73" t="s">
        <v>18</v>
      </c>
      <c r="G73" s="4">
        <v>2415</v>
      </c>
      <c r="H73" s="5">
        <v>15</v>
      </c>
    </row>
    <row r="74" spans="4:8" x14ac:dyDescent="0.3">
      <c r="D74" t="s">
        <v>40</v>
      </c>
      <c r="E74" t="s">
        <v>34</v>
      </c>
      <c r="F74" t="s">
        <v>19</v>
      </c>
      <c r="G74" s="4">
        <v>4018</v>
      </c>
      <c r="H74" s="5">
        <v>162</v>
      </c>
    </row>
    <row r="75" spans="4:8" x14ac:dyDescent="0.3">
      <c r="D75" t="s">
        <v>5</v>
      </c>
      <c r="E75" t="s">
        <v>34</v>
      </c>
      <c r="F75" t="s">
        <v>19</v>
      </c>
      <c r="G75" s="4">
        <v>861</v>
      </c>
      <c r="H75" s="5">
        <v>195</v>
      </c>
    </row>
    <row r="76" spans="4:8" x14ac:dyDescent="0.3">
      <c r="D76" t="s">
        <v>10</v>
      </c>
      <c r="E76" t="s">
        <v>38</v>
      </c>
      <c r="F76" t="s">
        <v>14</v>
      </c>
      <c r="G76" s="4">
        <v>5586</v>
      </c>
      <c r="H76" s="5">
        <v>525</v>
      </c>
    </row>
    <row r="77" spans="4:8" x14ac:dyDescent="0.3">
      <c r="D77" t="s">
        <v>7</v>
      </c>
      <c r="E77" t="s">
        <v>34</v>
      </c>
      <c r="F77" t="s">
        <v>33</v>
      </c>
      <c r="G77" s="4">
        <v>2226</v>
      </c>
      <c r="H77" s="5">
        <v>48</v>
      </c>
    </row>
    <row r="78" spans="4:8" x14ac:dyDescent="0.3">
      <c r="D78" t="s">
        <v>9</v>
      </c>
      <c r="E78" t="s">
        <v>34</v>
      </c>
      <c r="F78" t="s">
        <v>28</v>
      </c>
      <c r="G78" s="4">
        <v>14329</v>
      </c>
      <c r="H78" s="5">
        <v>150</v>
      </c>
    </row>
    <row r="79" spans="4:8" x14ac:dyDescent="0.3">
      <c r="D79" t="s">
        <v>9</v>
      </c>
      <c r="E79" t="s">
        <v>34</v>
      </c>
      <c r="F79" t="s">
        <v>20</v>
      </c>
      <c r="G79" s="4">
        <v>8463</v>
      </c>
      <c r="H79" s="5">
        <v>492</v>
      </c>
    </row>
    <row r="80" spans="4:8" x14ac:dyDescent="0.3">
      <c r="D80" t="s">
        <v>5</v>
      </c>
      <c r="E80" t="s">
        <v>34</v>
      </c>
      <c r="F80" t="s">
        <v>29</v>
      </c>
      <c r="G80" s="4">
        <v>2891</v>
      </c>
      <c r="H80" s="5">
        <v>102</v>
      </c>
    </row>
    <row r="81" spans="4:8" x14ac:dyDescent="0.3">
      <c r="D81" t="s">
        <v>3</v>
      </c>
      <c r="E81" t="s">
        <v>36</v>
      </c>
      <c r="F81" t="s">
        <v>23</v>
      </c>
      <c r="G81" s="4">
        <v>3773</v>
      </c>
      <c r="H81" s="5">
        <v>165</v>
      </c>
    </row>
    <row r="82" spans="4:8" x14ac:dyDescent="0.3">
      <c r="D82" t="s">
        <v>41</v>
      </c>
      <c r="E82" t="s">
        <v>36</v>
      </c>
      <c r="F82" t="s">
        <v>28</v>
      </c>
      <c r="G82" s="4">
        <v>854</v>
      </c>
      <c r="H82" s="5">
        <v>309</v>
      </c>
    </row>
    <row r="83" spans="4:8" x14ac:dyDescent="0.3">
      <c r="D83" t="s">
        <v>6</v>
      </c>
      <c r="E83" t="s">
        <v>36</v>
      </c>
      <c r="F83" t="s">
        <v>17</v>
      </c>
      <c r="G83" s="4">
        <v>4970</v>
      </c>
      <c r="H83" s="5">
        <v>156</v>
      </c>
    </row>
    <row r="84" spans="4:8" x14ac:dyDescent="0.3">
      <c r="D84" t="s">
        <v>9</v>
      </c>
      <c r="E84" t="s">
        <v>35</v>
      </c>
      <c r="F84" t="s">
        <v>26</v>
      </c>
      <c r="G84" s="4">
        <v>98</v>
      </c>
      <c r="H84" s="5">
        <v>159</v>
      </c>
    </row>
    <row r="85" spans="4:8" x14ac:dyDescent="0.3">
      <c r="D85" t="s">
        <v>5</v>
      </c>
      <c r="E85" t="s">
        <v>35</v>
      </c>
      <c r="F85" t="s">
        <v>15</v>
      </c>
      <c r="G85" s="4">
        <v>13391</v>
      </c>
      <c r="H85" s="5">
        <v>201</v>
      </c>
    </row>
    <row r="86" spans="4:8" x14ac:dyDescent="0.3">
      <c r="D86" t="s">
        <v>8</v>
      </c>
      <c r="E86" t="s">
        <v>39</v>
      </c>
      <c r="F86" t="s">
        <v>31</v>
      </c>
      <c r="G86" s="4">
        <v>8890</v>
      </c>
      <c r="H86" s="5">
        <v>210</v>
      </c>
    </row>
    <row r="87" spans="4:8" x14ac:dyDescent="0.3">
      <c r="D87" t="s">
        <v>2</v>
      </c>
      <c r="E87" t="s">
        <v>38</v>
      </c>
      <c r="F87" t="s">
        <v>13</v>
      </c>
      <c r="G87" s="4">
        <v>56</v>
      </c>
      <c r="H87" s="5">
        <v>51</v>
      </c>
    </row>
    <row r="88" spans="4:8" x14ac:dyDescent="0.3">
      <c r="D88" t="s">
        <v>3</v>
      </c>
      <c r="E88" t="s">
        <v>36</v>
      </c>
      <c r="F88" t="s">
        <v>25</v>
      </c>
      <c r="G88" s="4">
        <v>3339</v>
      </c>
      <c r="H88" s="5">
        <v>39</v>
      </c>
    </row>
    <row r="89" spans="4:8" x14ac:dyDescent="0.3">
      <c r="D89" t="s">
        <v>10</v>
      </c>
      <c r="E89" t="s">
        <v>35</v>
      </c>
      <c r="F89" t="s">
        <v>18</v>
      </c>
      <c r="G89" s="4">
        <v>3808</v>
      </c>
      <c r="H89" s="5">
        <v>279</v>
      </c>
    </row>
    <row r="90" spans="4:8" x14ac:dyDescent="0.3">
      <c r="D90" t="s">
        <v>10</v>
      </c>
      <c r="E90" t="s">
        <v>38</v>
      </c>
      <c r="F90" t="s">
        <v>13</v>
      </c>
      <c r="G90" s="4">
        <v>63</v>
      </c>
      <c r="H90" s="5">
        <v>123</v>
      </c>
    </row>
    <row r="91" spans="4:8" x14ac:dyDescent="0.3">
      <c r="D91" t="s">
        <v>2</v>
      </c>
      <c r="E91" t="s">
        <v>39</v>
      </c>
      <c r="F91" t="s">
        <v>27</v>
      </c>
      <c r="G91" s="4">
        <v>7812</v>
      </c>
      <c r="H91" s="5">
        <v>81</v>
      </c>
    </row>
    <row r="92" spans="4:8" x14ac:dyDescent="0.3">
      <c r="D92" t="s">
        <v>40</v>
      </c>
      <c r="E92" t="s">
        <v>37</v>
      </c>
      <c r="F92" t="s">
        <v>19</v>
      </c>
      <c r="G92" s="4">
        <v>7693</v>
      </c>
      <c r="H92" s="5">
        <v>21</v>
      </c>
    </row>
    <row r="93" spans="4:8" x14ac:dyDescent="0.3">
      <c r="D93" t="s">
        <v>3</v>
      </c>
      <c r="E93" t="s">
        <v>36</v>
      </c>
      <c r="F93" t="s">
        <v>28</v>
      </c>
      <c r="G93" s="4">
        <v>973</v>
      </c>
      <c r="H93" s="5">
        <v>162</v>
      </c>
    </row>
    <row r="94" spans="4:8" x14ac:dyDescent="0.3">
      <c r="D94" t="s">
        <v>10</v>
      </c>
      <c r="E94" t="s">
        <v>35</v>
      </c>
      <c r="F94" t="s">
        <v>21</v>
      </c>
      <c r="G94" s="4">
        <v>567</v>
      </c>
      <c r="H94" s="5">
        <v>228</v>
      </c>
    </row>
    <row r="95" spans="4:8" x14ac:dyDescent="0.3">
      <c r="D95" t="s">
        <v>10</v>
      </c>
      <c r="E95" t="s">
        <v>36</v>
      </c>
      <c r="F95" t="s">
        <v>29</v>
      </c>
      <c r="G95" s="4">
        <v>2471</v>
      </c>
      <c r="H95" s="5">
        <v>342</v>
      </c>
    </row>
    <row r="96" spans="4:8" x14ac:dyDescent="0.3">
      <c r="D96" t="s">
        <v>5</v>
      </c>
      <c r="E96" t="s">
        <v>38</v>
      </c>
      <c r="F96" t="s">
        <v>13</v>
      </c>
      <c r="G96" s="4">
        <v>7189</v>
      </c>
      <c r="H96" s="5">
        <v>54</v>
      </c>
    </row>
    <row r="97" spans="4:8" x14ac:dyDescent="0.3">
      <c r="D97" t="s">
        <v>41</v>
      </c>
      <c r="E97" t="s">
        <v>35</v>
      </c>
      <c r="F97" t="s">
        <v>28</v>
      </c>
      <c r="G97" s="4">
        <v>7455</v>
      </c>
      <c r="H97" s="5">
        <v>216</v>
      </c>
    </row>
    <row r="98" spans="4:8" x14ac:dyDescent="0.3">
      <c r="D98" t="s">
        <v>3</v>
      </c>
      <c r="E98" t="s">
        <v>34</v>
      </c>
      <c r="F98" t="s">
        <v>26</v>
      </c>
      <c r="G98" s="4">
        <v>3108</v>
      </c>
      <c r="H98" s="5">
        <v>54</v>
      </c>
    </row>
    <row r="99" spans="4:8" x14ac:dyDescent="0.3">
      <c r="D99" t="s">
        <v>6</v>
      </c>
      <c r="E99" t="s">
        <v>38</v>
      </c>
      <c r="F99" t="s">
        <v>25</v>
      </c>
      <c r="G99" s="4">
        <v>469</v>
      </c>
      <c r="H99" s="5">
        <v>75</v>
      </c>
    </row>
    <row r="100" spans="4:8" x14ac:dyDescent="0.3">
      <c r="D100" t="s">
        <v>9</v>
      </c>
      <c r="E100" t="s">
        <v>37</v>
      </c>
      <c r="F100" t="s">
        <v>23</v>
      </c>
      <c r="G100" s="4">
        <v>2737</v>
      </c>
      <c r="H100" s="5">
        <v>93</v>
      </c>
    </row>
    <row r="101" spans="4:8" x14ac:dyDescent="0.3">
      <c r="D101" t="s">
        <v>9</v>
      </c>
      <c r="E101" t="s">
        <v>37</v>
      </c>
      <c r="F101" t="s">
        <v>25</v>
      </c>
      <c r="G101" s="4">
        <v>4305</v>
      </c>
      <c r="H101" s="5">
        <v>156</v>
      </c>
    </row>
    <row r="102" spans="4:8" x14ac:dyDescent="0.3">
      <c r="D102" t="s">
        <v>9</v>
      </c>
      <c r="E102" t="s">
        <v>38</v>
      </c>
      <c r="F102" t="s">
        <v>17</v>
      </c>
      <c r="G102" s="4">
        <v>2408</v>
      </c>
      <c r="H102" s="5">
        <v>9</v>
      </c>
    </row>
    <row r="103" spans="4:8" x14ac:dyDescent="0.3">
      <c r="D103" t="s">
        <v>3</v>
      </c>
      <c r="E103" t="s">
        <v>36</v>
      </c>
      <c r="F103" t="s">
        <v>19</v>
      </c>
      <c r="G103" s="4">
        <v>1281</v>
      </c>
      <c r="H103" s="5">
        <v>18</v>
      </c>
    </row>
    <row r="104" spans="4:8" x14ac:dyDescent="0.3">
      <c r="D104" t="s">
        <v>40</v>
      </c>
      <c r="E104" t="s">
        <v>35</v>
      </c>
      <c r="F104" t="s">
        <v>32</v>
      </c>
      <c r="G104" s="4">
        <v>12348</v>
      </c>
      <c r="H104" s="5">
        <v>234</v>
      </c>
    </row>
    <row r="105" spans="4:8" x14ac:dyDescent="0.3">
      <c r="D105" t="s">
        <v>3</v>
      </c>
      <c r="E105" t="s">
        <v>34</v>
      </c>
      <c r="F105" t="s">
        <v>28</v>
      </c>
      <c r="G105" s="4">
        <v>3689</v>
      </c>
      <c r="H105" s="5">
        <v>312</v>
      </c>
    </row>
    <row r="106" spans="4:8" x14ac:dyDescent="0.3">
      <c r="D106" t="s">
        <v>7</v>
      </c>
      <c r="E106" t="s">
        <v>36</v>
      </c>
      <c r="F106" t="s">
        <v>19</v>
      </c>
      <c r="G106" s="4">
        <v>2870</v>
      </c>
      <c r="H106" s="5">
        <v>300</v>
      </c>
    </row>
    <row r="107" spans="4:8" x14ac:dyDescent="0.3">
      <c r="D107" t="s">
        <v>2</v>
      </c>
      <c r="E107" t="s">
        <v>36</v>
      </c>
      <c r="F107" t="s">
        <v>27</v>
      </c>
      <c r="G107" s="4">
        <v>798</v>
      </c>
      <c r="H107" s="5">
        <v>519</v>
      </c>
    </row>
    <row r="108" spans="4:8" x14ac:dyDescent="0.3">
      <c r="D108" t="s">
        <v>41</v>
      </c>
      <c r="E108" t="s">
        <v>37</v>
      </c>
      <c r="F108" t="s">
        <v>21</v>
      </c>
      <c r="G108" s="4">
        <v>2933</v>
      </c>
      <c r="H108" s="5">
        <v>9</v>
      </c>
    </row>
    <row r="109" spans="4:8" x14ac:dyDescent="0.3">
      <c r="D109" t="s">
        <v>5</v>
      </c>
      <c r="E109" t="s">
        <v>35</v>
      </c>
      <c r="F109" t="s">
        <v>4</v>
      </c>
      <c r="G109" s="4">
        <v>2744</v>
      </c>
      <c r="H109" s="5">
        <v>9</v>
      </c>
    </row>
    <row r="110" spans="4:8" x14ac:dyDescent="0.3">
      <c r="D110" t="s">
        <v>40</v>
      </c>
      <c r="E110" t="s">
        <v>36</v>
      </c>
      <c r="F110" t="s">
        <v>33</v>
      </c>
      <c r="G110" s="4">
        <v>9772</v>
      </c>
      <c r="H110" s="5">
        <v>90</v>
      </c>
    </row>
    <row r="111" spans="4:8" x14ac:dyDescent="0.3">
      <c r="D111" t="s">
        <v>7</v>
      </c>
      <c r="E111" t="s">
        <v>34</v>
      </c>
      <c r="F111" t="s">
        <v>25</v>
      </c>
      <c r="G111" s="4">
        <v>1568</v>
      </c>
      <c r="H111" s="5">
        <v>96</v>
      </c>
    </row>
    <row r="112" spans="4:8" x14ac:dyDescent="0.3">
      <c r="D112" t="s">
        <v>2</v>
      </c>
      <c r="E112" t="s">
        <v>36</v>
      </c>
      <c r="F112" t="s">
        <v>16</v>
      </c>
      <c r="G112" s="4">
        <v>11417</v>
      </c>
      <c r="H112" s="5">
        <v>21</v>
      </c>
    </row>
    <row r="113" spans="4:8" x14ac:dyDescent="0.3">
      <c r="D113" t="s">
        <v>40</v>
      </c>
      <c r="E113" t="s">
        <v>34</v>
      </c>
      <c r="F113" t="s">
        <v>26</v>
      </c>
      <c r="G113" s="4">
        <v>6748</v>
      </c>
      <c r="H113" s="5">
        <v>48</v>
      </c>
    </row>
    <row r="114" spans="4:8" x14ac:dyDescent="0.3">
      <c r="D114" t="s">
        <v>10</v>
      </c>
      <c r="E114" t="s">
        <v>36</v>
      </c>
      <c r="F114" t="s">
        <v>27</v>
      </c>
      <c r="G114" s="4">
        <v>1407</v>
      </c>
      <c r="H114" s="5">
        <v>72</v>
      </c>
    </row>
    <row r="115" spans="4:8" x14ac:dyDescent="0.3">
      <c r="D115" t="s">
        <v>8</v>
      </c>
      <c r="E115" t="s">
        <v>35</v>
      </c>
      <c r="F115" t="s">
        <v>29</v>
      </c>
      <c r="G115" s="4">
        <v>2023</v>
      </c>
      <c r="H115" s="5">
        <v>168</v>
      </c>
    </row>
    <row r="116" spans="4:8" x14ac:dyDescent="0.3">
      <c r="D116" t="s">
        <v>5</v>
      </c>
      <c r="E116" t="s">
        <v>39</v>
      </c>
      <c r="F116" t="s">
        <v>26</v>
      </c>
      <c r="G116" s="4">
        <v>5236</v>
      </c>
      <c r="H116" s="5">
        <v>51</v>
      </c>
    </row>
    <row r="117" spans="4:8" x14ac:dyDescent="0.3">
      <c r="D117" t="s">
        <v>41</v>
      </c>
      <c r="E117" t="s">
        <v>36</v>
      </c>
      <c r="F117" t="s">
        <v>19</v>
      </c>
      <c r="G117" s="4">
        <v>1925</v>
      </c>
      <c r="H117" s="5">
        <v>192</v>
      </c>
    </row>
    <row r="118" spans="4:8" x14ac:dyDescent="0.3">
      <c r="D118" t="s">
        <v>7</v>
      </c>
      <c r="E118" t="s">
        <v>37</v>
      </c>
      <c r="F118" t="s">
        <v>14</v>
      </c>
      <c r="G118" s="4">
        <v>6608</v>
      </c>
      <c r="H118" s="5">
        <v>225</v>
      </c>
    </row>
    <row r="119" spans="4:8" x14ac:dyDescent="0.3">
      <c r="D119" t="s">
        <v>6</v>
      </c>
      <c r="E119" t="s">
        <v>34</v>
      </c>
      <c r="F119" t="s">
        <v>26</v>
      </c>
      <c r="G119" s="4">
        <v>8008</v>
      </c>
      <c r="H119" s="5">
        <v>456</v>
      </c>
    </row>
    <row r="120" spans="4:8" x14ac:dyDescent="0.3">
      <c r="D120" t="s">
        <v>10</v>
      </c>
      <c r="E120" t="s">
        <v>34</v>
      </c>
      <c r="F120" t="s">
        <v>25</v>
      </c>
      <c r="G120" s="4">
        <v>1428</v>
      </c>
      <c r="H120" s="5">
        <v>93</v>
      </c>
    </row>
    <row r="121" spans="4:8" x14ac:dyDescent="0.3">
      <c r="D121" t="s">
        <v>6</v>
      </c>
      <c r="E121" t="s">
        <v>34</v>
      </c>
      <c r="F121" t="s">
        <v>4</v>
      </c>
      <c r="G121" s="4">
        <v>525</v>
      </c>
      <c r="H121" s="5">
        <v>48</v>
      </c>
    </row>
    <row r="122" spans="4:8" x14ac:dyDescent="0.3">
      <c r="D122" t="s">
        <v>6</v>
      </c>
      <c r="E122" t="s">
        <v>37</v>
      </c>
      <c r="F122" t="s">
        <v>18</v>
      </c>
      <c r="G122" s="4">
        <v>1505</v>
      </c>
      <c r="H122" s="5">
        <v>102</v>
      </c>
    </row>
    <row r="123" spans="4:8" x14ac:dyDescent="0.3">
      <c r="D123" t="s">
        <v>7</v>
      </c>
      <c r="E123" t="s">
        <v>35</v>
      </c>
      <c r="F123" t="s">
        <v>30</v>
      </c>
      <c r="G123" s="4">
        <v>6755</v>
      </c>
      <c r="H123" s="5">
        <v>252</v>
      </c>
    </row>
    <row r="124" spans="4:8" x14ac:dyDescent="0.3">
      <c r="D124" t="s">
        <v>2</v>
      </c>
      <c r="E124" t="s">
        <v>37</v>
      </c>
      <c r="F124" t="s">
        <v>18</v>
      </c>
      <c r="G124" s="4">
        <v>11571</v>
      </c>
      <c r="H124" s="5">
        <v>138</v>
      </c>
    </row>
    <row r="125" spans="4:8" x14ac:dyDescent="0.3">
      <c r="D125" t="s">
        <v>40</v>
      </c>
      <c r="E125" t="s">
        <v>38</v>
      </c>
      <c r="F125" t="s">
        <v>25</v>
      </c>
      <c r="G125" s="4">
        <v>2541</v>
      </c>
      <c r="H125" s="5">
        <v>90</v>
      </c>
    </row>
    <row r="126" spans="4:8" x14ac:dyDescent="0.3">
      <c r="D126" t="s">
        <v>41</v>
      </c>
      <c r="E126" t="s">
        <v>37</v>
      </c>
      <c r="F126" t="s">
        <v>30</v>
      </c>
      <c r="G126" s="4">
        <v>1526</v>
      </c>
      <c r="H126" s="5">
        <v>240</v>
      </c>
    </row>
    <row r="127" spans="4:8" x14ac:dyDescent="0.3">
      <c r="D127" t="s">
        <v>40</v>
      </c>
      <c r="E127" t="s">
        <v>38</v>
      </c>
      <c r="F127" t="s">
        <v>4</v>
      </c>
      <c r="G127" s="4">
        <v>6125</v>
      </c>
      <c r="H127" s="5">
        <v>102</v>
      </c>
    </row>
    <row r="128" spans="4:8" x14ac:dyDescent="0.3">
      <c r="D128" t="s">
        <v>41</v>
      </c>
      <c r="E128" t="s">
        <v>35</v>
      </c>
      <c r="F128" t="s">
        <v>27</v>
      </c>
      <c r="G128" s="4">
        <v>847</v>
      </c>
      <c r="H128" s="5">
        <v>129</v>
      </c>
    </row>
    <row r="129" spans="4:8" x14ac:dyDescent="0.3">
      <c r="D129" t="s">
        <v>8</v>
      </c>
      <c r="E129" t="s">
        <v>35</v>
      </c>
      <c r="F129" t="s">
        <v>27</v>
      </c>
      <c r="G129" s="4">
        <v>4753</v>
      </c>
      <c r="H129" s="5">
        <v>300</v>
      </c>
    </row>
    <row r="130" spans="4:8" x14ac:dyDescent="0.3">
      <c r="D130" t="s">
        <v>6</v>
      </c>
      <c r="E130" t="s">
        <v>38</v>
      </c>
      <c r="F130" t="s">
        <v>33</v>
      </c>
      <c r="G130" s="4">
        <v>959</v>
      </c>
      <c r="H130" s="5">
        <v>135</v>
      </c>
    </row>
    <row r="131" spans="4:8" x14ac:dyDescent="0.3">
      <c r="D131" t="s">
        <v>7</v>
      </c>
      <c r="E131" t="s">
        <v>35</v>
      </c>
      <c r="F131" t="s">
        <v>24</v>
      </c>
      <c r="G131" s="4">
        <v>2793</v>
      </c>
      <c r="H131" s="5">
        <v>114</v>
      </c>
    </row>
    <row r="132" spans="4:8" x14ac:dyDescent="0.3">
      <c r="D132" t="s">
        <v>7</v>
      </c>
      <c r="E132" t="s">
        <v>35</v>
      </c>
      <c r="F132" t="s">
        <v>14</v>
      </c>
      <c r="G132" s="4">
        <v>4606</v>
      </c>
      <c r="H132" s="5">
        <v>63</v>
      </c>
    </row>
    <row r="133" spans="4:8" x14ac:dyDescent="0.3">
      <c r="D133" t="s">
        <v>7</v>
      </c>
      <c r="E133" t="s">
        <v>36</v>
      </c>
      <c r="F133" t="s">
        <v>29</v>
      </c>
      <c r="G133" s="4">
        <v>5551</v>
      </c>
      <c r="H133" s="5">
        <v>252</v>
      </c>
    </row>
    <row r="134" spans="4:8" x14ac:dyDescent="0.3">
      <c r="D134" t="s">
        <v>10</v>
      </c>
      <c r="E134" t="s">
        <v>36</v>
      </c>
      <c r="F134" t="s">
        <v>32</v>
      </c>
      <c r="G134" s="4">
        <v>6657</v>
      </c>
      <c r="H134" s="5">
        <v>303</v>
      </c>
    </row>
    <row r="135" spans="4:8" x14ac:dyDescent="0.3">
      <c r="D135" t="s">
        <v>7</v>
      </c>
      <c r="E135" t="s">
        <v>39</v>
      </c>
      <c r="F135" t="s">
        <v>17</v>
      </c>
      <c r="G135" s="4">
        <v>4438</v>
      </c>
      <c r="H135" s="5">
        <v>246</v>
      </c>
    </row>
    <row r="136" spans="4:8" x14ac:dyDescent="0.3">
      <c r="D136" t="s">
        <v>8</v>
      </c>
      <c r="E136" t="s">
        <v>38</v>
      </c>
      <c r="F136" t="s">
        <v>22</v>
      </c>
      <c r="G136" s="4">
        <v>168</v>
      </c>
      <c r="H136" s="5">
        <v>84</v>
      </c>
    </row>
    <row r="137" spans="4:8" x14ac:dyDescent="0.3">
      <c r="D137" t="s">
        <v>7</v>
      </c>
      <c r="E137" t="s">
        <v>34</v>
      </c>
      <c r="F137" t="s">
        <v>17</v>
      </c>
      <c r="G137" s="4">
        <v>7777</v>
      </c>
      <c r="H137" s="5">
        <v>39</v>
      </c>
    </row>
    <row r="138" spans="4:8" x14ac:dyDescent="0.3">
      <c r="D138" t="s">
        <v>5</v>
      </c>
      <c r="E138" t="s">
        <v>36</v>
      </c>
      <c r="F138" t="s">
        <v>17</v>
      </c>
      <c r="G138" s="4">
        <v>3339</v>
      </c>
      <c r="H138" s="5">
        <v>348</v>
      </c>
    </row>
    <row r="139" spans="4:8" x14ac:dyDescent="0.3">
      <c r="D139" t="s">
        <v>7</v>
      </c>
      <c r="E139" t="s">
        <v>37</v>
      </c>
      <c r="F139" t="s">
        <v>33</v>
      </c>
      <c r="G139" s="4">
        <v>6391</v>
      </c>
      <c r="H139" s="5">
        <v>48</v>
      </c>
    </row>
    <row r="140" spans="4:8" x14ac:dyDescent="0.3">
      <c r="D140" t="s">
        <v>5</v>
      </c>
      <c r="E140" t="s">
        <v>37</v>
      </c>
      <c r="F140" t="s">
        <v>22</v>
      </c>
      <c r="G140" s="4">
        <v>518</v>
      </c>
      <c r="H140" s="5">
        <v>75</v>
      </c>
    </row>
    <row r="141" spans="4:8" x14ac:dyDescent="0.3">
      <c r="D141" t="s">
        <v>7</v>
      </c>
      <c r="E141" t="s">
        <v>38</v>
      </c>
      <c r="F141" t="s">
        <v>28</v>
      </c>
      <c r="G141" s="4">
        <v>5677</v>
      </c>
      <c r="H141" s="5">
        <v>258</v>
      </c>
    </row>
    <row r="142" spans="4:8" x14ac:dyDescent="0.3">
      <c r="D142" t="s">
        <v>6</v>
      </c>
      <c r="E142" t="s">
        <v>39</v>
      </c>
      <c r="F142" t="s">
        <v>17</v>
      </c>
      <c r="G142" s="4">
        <v>6048</v>
      </c>
      <c r="H142" s="5">
        <v>27</v>
      </c>
    </row>
    <row r="143" spans="4:8" x14ac:dyDescent="0.3">
      <c r="D143" t="s">
        <v>8</v>
      </c>
      <c r="E143" t="s">
        <v>38</v>
      </c>
      <c r="F143" t="s">
        <v>32</v>
      </c>
      <c r="G143" s="4">
        <v>3752</v>
      </c>
      <c r="H143" s="5">
        <v>213</v>
      </c>
    </row>
    <row r="144" spans="4:8" x14ac:dyDescent="0.3">
      <c r="D144" t="s">
        <v>5</v>
      </c>
      <c r="E144" t="s">
        <v>35</v>
      </c>
      <c r="F144" t="s">
        <v>29</v>
      </c>
      <c r="G144" s="4">
        <v>4480</v>
      </c>
      <c r="H144" s="5">
        <v>357</v>
      </c>
    </row>
    <row r="145" spans="4:8" x14ac:dyDescent="0.3">
      <c r="D145" t="s">
        <v>9</v>
      </c>
      <c r="E145" t="s">
        <v>37</v>
      </c>
      <c r="F145" t="s">
        <v>4</v>
      </c>
      <c r="G145" s="4">
        <v>259</v>
      </c>
      <c r="H145" s="5">
        <v>207</v>
      </c>
    </row>
    <row r="146" spans="4:8" x14ac:dyDescent="0.3">
      <c r="D146" t="s">
        <v>8</v>
      </c>
      <c r="E146" t="s">
        <v>37</v>
      </c>
      <c r="F146" t="s">
        <v>30</v>
      </c>
      <c r="G146" s="4">
        <v>42</v>
      </c>
      <c r="H146" s="5">
        <v>150</v>
      </c>
    </row>
    <row r="147" spans="4:8" x14ac:dyDescent="0.3">
      <c r="D147" t="s">
        <v>41</v>
      </c>
      <c r="E147" t="s">
        <v>36</v>
      </c>
      <c r="F147" t="s">
        <v>26</v>
      </c>
      <c r="G147" s="4">
        <v>98</v>
      </c>
      <c r="H147" s="5">
        <v>204</v>
      </c>
    </row>
    <row r="148" spans="4:8" x14ac:dyDescent="0.3">
      <c r="D148" t="s">
        <v>7</v>
      </c>
      <c r="E148" t="s">
        <v>35</v>
      </c>
      <c r="F148" t="s">
        <v>27</v>
      </c>
      <c r="G148" s="4">
        <v>2478</v>
      </c>
      <c r="H148" s="5">
        <v>21</v>
      </c>
    </row>
    <row r="149" spans="4:8" x14ac:dyDescent="0.3">
      <c r="D149" t="s">
        <v>41</v>
      </c>
      <c r="E149" t="s">
        <v>34</v>
      </c>
      <c r="F149" t="s">
        <v>33</v>
      </c>
      <c r="G149" s="4">
        <v>7847</v>
      </c>
      <c r="H149" s="5">
        <v>174</v>
      </c>
    </row>
    <row r="150" spans="4:8" x14ac:dyDescent="0.3">
      <c r="D150" t="s">
        <v>2</v>
      </c>
      <c r="E150" t="s">
        <v>37</v>
      </c>
      <c r="F150" t="s">
        <v>17</v>
      </c>
      <c r="G150" s="4">
        <v>9926</v>
      </c>
      <c r="H150" s="5">
        <v>201</v>
      </c>
    </row>
    <row r="151" spans="4:8" x14ac:dyDescent="0.3">
      <c r="D151" t="s">
        <v>8</v>
      </c>
      <c r="E151" t="s">
        <v>38</v>
      </c>
      <c r="F151" t="s">
        <v>13</v>
      </c>
      <c r="G151" s="4">
        <v>819</v>
      </c>
      <c r="H151" s="5">
        <v>510</v>
      </c>
    </row>
    <row r="152" spans="4:8" x14ac:dyDescent="0.3">
      <c r="D152" t="s">
        <v>6</v>
      </c>
      <c r="E152" t="s">
        <v>39</v>
      </c>
      <c r="F152" t="s">
        <v>29</v>
      </c>
      <c r="G152" s="4">
        <v>3052</v>
      </c>
      <c r="H152" s="5">
        <v>378</v>
      </c>
    </row>
    <row r="153" spans="4:8" x14ac:dyDescent="0.3">
      <c r="D153" t="s">
        <v>9</v>
      </c>
      <c r="E153" t="s">
        <v>34</v>
      </c>
      <c r="F153" t="s">
        <v>21</v>
      </c>
      <c r="G153" s="4">
        <v>6832</v>
      </c>
      <c r="H153" s="5">
        <v>27</v>
      </c>
    </row>
    <row r="154" spans="4:8" x14ac:dyDescent="0.3">
      <c r="D154" t="s">
        <v>2</v>
      </c>
      <c r="E154" t="s">
        <v>39</v>
      </c>
      <c r="F154" t="s">
        <v>16</v>
      </c>
      <c r="G154" s="4">
        <v>2016</v>
      </c>
      <c r="H154" s="5">
        <v>117</v>
      </c>
    </row>
    <row r="155" spans="4:8" x14ac:dyDescent="0.3">
      <c r="D155" t="s">
        <v>6</v>
      </c>
      <c r="E155" t="s">
        <v>38</v>
      </c>
      <c r="F155" t="s">
        <v>21</v>
      </c>
      <c r="G155" s="4">
        <v>7322</v>
      </c>
      <c r="H155" s="5">
        <v>36</v>
      </c>
    </row>
    <row r="156" spans="4:8" x14ac:dyDescent="0.3">
      <c r="D156" t="s">
        <v>8</v>
      </c>
      <c r="E156" t="s">
        <v>35</v>
      </c>
      <c r="F156" t="s">
        <v>33</v>
      </c>
      <c r="G156" s="4">
        <v>357</v>
      </c>
      <c r="H156" s="5">
        <v>126</v>
      </c>
    </row>
    <row r="157" spans="4:8" x14ac:dyDescent="0.3">
      <c r="D157" t="s">
        <v>9</v>
      </c>
      <c r="E157" t="s">
        <v>39</v>
      </c>
      <c r="F157" t="s">
        <v>25</v>
      </c>
      <c r="G157" s="4">
        <v>3192</v>
      </c>
      <c r="H157" s="5">
        <v>72</v>
      </c>
    </row>
    <row r="158" spans="4:8" x14ac:dyDescent="0.3">
      <c r="D158" t="s">
        <v>7</v>
      </c>
      <c r="E158" t="s">
        <v>36</v>
      </c>
      <c r="F158" t="s">
        <v>22</v>
      </c>
      <c r="G158" s="4">
        <v>8435</v>
      </c>
      <c r="H158" s="5">
        <v>42</v>
      </c>
    </row>
    <row r="159" spans="4:8" x14ac:dyDescent="0.3">
      <c r="D159" t="s">
        <v>40</v>
      </c>
      <c r="E159" t="s">
        <v>39</v>
      </c>
      <c r="F159" t="s">
        <v>29</v>
      </c>
      <c r="G159" s="4">
        <v>0</v>
      </c>
      <c r="H159" s="5">
        <v>135</v>
      </c>
    </row>
    <row r="160" spans="4:8" x14ac:dyDescent="0.3">
      <c r="D160" t="s">
        <v>7</v>
      </c>
      <c r="E160" t="s">
        <v>34</v>
      </c>
      <c r="F160" t="s">
        <v>24</v>
      </c>
      <c r="G160" s="4">
        <v>8862</v>
      </c>
      <c r="H160" s="5">
        <v>189</v>
      </c>
    </row>
    <row r="161" spans="4:8" x14ac:dyDescent="0.3">
      <c r="D161" t="s">
        <v>6</v>
      </c>
      <c r="E161" t="s">
        <v>37</v>
      </c>
      <c r="F161" t="s">
        <v>28</v>
      </c>
      <c r="G161" s="4">
        <v>3556</v>
      </c>
      <c r="H161" s="5">
        <v>459</v>
      </c>
    </row>
    <row r="162" spans="4:8" x14ac:dyDescent="0.3">
      <c r="D162" t="s">
        <v>5</v>
      </c>
      <c r="E162" t="s">
        <v>34</v>
      </c>
      <c r="F162" t="s">
        <v>15</v>
      </c>
      <c r="G162" s="4">
        <v>7280</v>
      </c>
      <c r="H162" s="5">
        <v>201</v>
      </c>
    </row>
    <row r="163" spans="4:8" x14ac:dyDescent="0.3">
      <c r="D163" t="s">
        <v>6</v>
      </c>
      <c r="E163" t="s">
        <v>34</v>
      </c>
      <c r="F163" t="s">
        <v>30</v>
      </c>
      <c r="G163" s="4">
        <v>3402</v>
      </c>
      <c r="H163" s="5">
        <v>366</v>
      </c>
    </row>
    <row r="164" spans="4:8" x14ac:dyDescent="0.3">
      <c r="D164" t="s">
        <v>3</v>
      </c>
      <c r="E164" t="s">
        <v>37</v>
      </c>
      <c r="F164" t="s">
        <v>29</v>
      </c>
      <c r="G164" s="4">
        <v>4592</v>
      </c>
      <c r="H164" s="5">
        <v>324</v>
      </c>
    </row>
    <row r="165" spans="4:8" x14ac:dyDescent="0.3">
      <c r="D165" t="s">
        <v>9</v>
      </c>
      <c r="E165" t="s">
        <v>35</v>
      </c>
      <c r="F165" t="s">
        <v>15</v>
      </c>
      <c r="G165" s="4">
        <v>7833</v>
      </c>
      <c r="H165" s="5">
        <v>243</v>
      </c>
    </row>
    <row r="166" spans="4:8" x14ac:dyDescent="0.3">
      <c r="D166" t="s">
        <v>2</v>
      </c>
      <c r="E166" t="s">
        <v>39</v>
      </c>
      <c r="F166" t="s">
        <v>21</v>
      </c>
      <c r="G166" s="4">
        <v>7651</v>
      </c>
      <c r="H166" s="5">
        <v>213</v>
      </c>
    </row>
    <row r="167" spans="4:8" x14ac:dyDescent="0.3">
      <c r="D167" t="s">
        <v>40</v>
      </c>
      <c r="E167" t="s">
        <v>35</v>
      </c>
      <c r="F167" t="s">
        <v>30</v>
      </c>
      <c r="G167" s="4">
        <v>2275</v>
      </c>
      <c r="H167" s="5">
        <v>447</v>
      </c>
    </row>
    <row r="168" spans="4:8" x14ac:dyDescent="0.3">
      <c r="D168" t="s">
        <v>40</v>
      </c>
      <c r="E168" t="s">
        <v>38</v>
      </c>
      <c r="F168" t="s">
        <v>13</v>
      </c>
      <c r="G168" s="4">
        <v>5670</v>
      </c>
      <c r="H168" s="5">
        <v>297</v>
      </c>
    </row>
    <row r="169" spans="4:8" x14ac:dyDescent="0.3">
      <c r="D169" t="s">
        <v>7</v>
      </c>
      <c r="E169" t="s">
        <v>35</v>
      </c>
      <c r="F169" t="s">
        <v>16</v>
      </c>
      <c r="G169" s="4">
        <v>2135</v>
      </c>
      <c r="H169" s="5">
        <v>27</v>
      </c>
    </row>
    <row r="170" spans="4:8" x14ac:dyDescent="0.3">
      <c r="D170" t="s">
        <v>40</v>
      </c>
      <c r="E170" t="s">
        <v>34</v>
      </c>
      <c r="F170" t="s">
        <v>23</v>
      </c>
      <c r="G170" s="4">
        <v>2779</v>
      </c>
      <c r="H170" s="5">
        <v>75</v>
      </c>
    </row>
    <row r="171" spans="4:8" x14ac:dyDescent="0.3">
      <c r="D171" t="s">
        <v>10</v>
      </c>
      <c r="E171" t="s">
        <v>39</v>
      </c>
      <c r="F171" t="s">
        <v>33</v>
      </c>
      <c r="G171" s="4">
        <v>12950</v>
      </c>
      <c r="H171" s="5">
        <v>30</v>
      </c>
    </row>
    <row r="172" spans="4:8" x14ac:dyDescent="0.3">
      <c r="D172" t="s">
        <v>7</v>
      </c>
      <c r="E172" t="s">
        <v>36</v>
      </c>
      <c r="F172" t="s">
        <v>18</v>
      </c>
      <c r="G172" s="4">
        <v>2646</v>
      </c>
      <c r="H172" s="5">
        <v>177</v>
      </c>
    </row>
    <row r="173" spans="4:8" x14ac:dyDescent="0.3">
      <c r="D173" t="s">
        <v>40</v>
      </c>
      <c r="E173" t="s">
        <v>34</v>
      </c>
      <c r="F173" t="s">
        <v>33</v>
      </c>
      <c r="G173" s="4">
        <v>3794</v>
      </c>
      <c r="H173" s="5">
        <v>159</v>
      </c>
    </row>
    <row r="174" spans="4:8" x14ac:dyDescent="0.3">
      <c r="D174" t="s">
        <v>3</v>
      </c>
      <c r="E174" t="s">
        <v>35</v>
      </c>
      <c r="F174" t="s">
        <v>33</v>
      </c>
      <c r="G174" s="4">
        <v>819</v>
      </c>
      <c r="H174" s="5">
        <v>306</v>
      </c>
    </row>
    <row r="175" spans="4:8" x14ac:dyDescent="0.3">
      <c r="D175" t="s">
        <v>3</v>
      </c>
      <c r="E175" t="s">
        <v>34</v>
      </c>
      <c r="F175" t="s">
        <v>20</v>
      </c>
      <c r="G175" s="4">
        <v>2583</v>
      </c>
      <c r="H175" s="5">
        <v>18</v>
      </c>
    </row>
    <row r="176" spans="4:8" x14ac:dyDescent="0.3">
      <c r="D176" t="s">
        <v>7</v>
      </c>
      <c r="E176" t="s">
        <v>35</v>
      </c>
      <c r="F176" t="s">
        <v>19</v>
      </c>
      <c r="G176" s="4">
        <v>4585</v>
      </c>
      <c r="H176" s="5">
        <v>240</v>
      </c>
    </row>
    <row r="177" spans="4:8" x14ac:dyDescent="0.3">
      <c r="D177" t="s">
        <v>5</v>
      </c>
      <c r="E177" t="s">
        <v>34</v>
      </c>
      <c r="F177" t="s">
        <v>33</v>
      </c>
      <c r="G177" s="4">
        <v>1652</v>
      </c>
      <c r="H177" s="5">
        <v>93</v>
      </c>
    </row>
    <row r="178" spans="4:8" x14ac:dyDescent="0.3">
      <c r="D178" t="s">
        <v>10</v>
      </c>
      <c r="E178" t="s">
        <v>34</v>
      </c>
      <c r="F178" t="s">
        <v>26</v>
      </c>
      <c r="G178" s="4">
        <v>4991</v>
      </c>
      <c r="H178" s="5">
        <v>9</v>
      </c>
    </row>
    <row r="179" spans="4:8" x14ac:dyDescent="0.3">
      <c r="D179" t="s">
        <v>8</v>
      </c>
      <c r="E179" t="s">
        <v>34</v>
      </c>
      <c r="F179" t="s">
        <v>16</v>
      </c>
      <c r="G179" s="4">
        <v>2009</v>
      </c>
      <c r="H179" s="5">
        <v>219</v>
      </c>
    </row>
    <row r="180" spans="4:8" x14ac:dyDescent="0.3">
      <c r="D180" t="s">
        <v>2</v>
      </c>
      <c r="E180" t="s">
        <v>39</v>
      </c>
      <c r="F180" t="s">
        <v>22</v>
      </c>
      <c r="G180" s="4">
        <v>1568</v>
      </c>
      <c r="H180" s="5">
        <v>141</v>
      </c>
    </row>
    <row r="181" spans="4:8" x14ac:dyDescent="0.3">
      <c r="D181" t="s">
        <v>41</v>
      </c>
      <c r="E181" t="s">
        <v>37</v>
      </c>
      <c r="F181" t="s">
        <v>20</v>
      </c>
      <c r="G181" s="4">
        <v>3388</v>
      </c>
      <c r="H181" s="5">
        <v>123</v>
      </c>
    </row>
    <row r="182" spans="4:8" x14ac:dyDescent="0.3">
      <c r="D182" t="s">
        <v>40</v>
      </c>
      <c r="E182" t="s">
        <v>38</v>
      </c>
      <c r="F182" t="s">
        <v>24</v>
      </c>
      <c r="G182" s="4">
        <v>623</v>
      </c>
      <c r="H182" s="5">
        <v>51</v>
      </c>
    </row>
    <row r="183" spans="4:8" x14ac:dyDescent="0.3">
      <c r="D183" t="s">
        <v>6</v>
      </c>
      <c r="E183" t="s">
        <v>36</v>
      </c>
      <c r="F183" t="s">
        <v>4</v>
      </c>
      <c r="G183" s="4">
        <v>10073</v>
      </c>
      <c r="H183" s="5">
        <v>120</v>
      </c>
    </row>
    <row r="184" spans="4:8" x14ac:dyDescent="0.3">
      <c r="D184" t="s">
        <v>8</v>
      </c>
      <c r="E184" t="s">
        <v>39</v>
      </c>
      <c r="F184" t="s">
        <v>26</v>
      </c>
      <c r="G184" s="4">
        <v>1561</v>
      </c>
      <c r="H184" s="5">
        <v>27</v>
      </c>
    </row>
    <row r="185" spans="4:8" x14ac:dyDescent="0.3">
      <c r="D185" t="s">
        <v>9</v>
      </c>
      <c r="E185" t="s">
        <v>36</v>
      </c>
      <c r="F185" t="s">
        <v>27</v>
      </c>
      <c r="G185" s="4">
        <v>11522</v>
      </c>
      <c r="H185" s="5">
        <v>204</v>
      </c>
    </row>
    <row r="186" spans="4:8" x14ac:dyDescent="0.3">
      <c r="D186" t="s">
        <v>6</v>
      </c>
      <c r="E186" t="s">
        <v>38</v>
      </c>
      <c r="F186" t="s">
        <v>13</v>
      </c>
      <c r="G186" s="4">
        <v>2317</v>
      </c>
      <c r="H186" s="5">
        <v>123</v>
      </c>
    </row>
    <row r="187" spans="4:8" x14ac:dyDescent="0.3">
      <c r="D187" t="s">
        <v>10</v>
      </c>
      <c r="E187" t="s">
        <v>37</v>
      </c>
      <c r="F187" t="s">
        <v>28</v>
      </c>
      <c r="G187" s="4">
        <v>3059</v>
      </c>
      <c r="H187" s="5">
        <v>27</v>
      </c>
    </row>
    <row r="188" spans="4:8" x14ac:dyDescent="0.3">
      <c r="D188" t="s">
        <v>41</v>
      </c>
      <c r="E188" t="s">
        <v>37</v>
      </c>
      <c r="F188" t="s">
        <v>26</v>
      </c>
      <c r="G188" s="4">
        <v>2324</v>
      </c>
      <c r="H188" s="5">
        <v>177</v>
      </c>
    </row>
    <row r="189" spans="4:8" x14ac:dyDescent="0.3">
      <c r="D189" t="s">
        <v>3</v>
      </c>
      <c r="E189" t="s">
        <v>39</v>
      </c>
      <c r="F189" t="s">
        <v>26</v>
      </c>
      <c r="G189" s="4">
        <v>4956</v>
      </c>
      <c r="H189" s="5">
        <v>171</v>
      </c>
    </row>
    <row r="190" spans="4:8" x14ac:dyDescent="0.3">
      <c r="D190" t="s">
        <v>10</v>
      </c>
      <c r="E190" t="s">
        <v>34</v>
      </c>
      <c r="F190" t="s">
        <v>19</v>
      </c>
      <c r="G190" s="4">
        <v>5355</v>
      </c>
      <c r="H190" s="5">
        <v>204</v>
      </c>
    </row>
    <row r="191" spans="4:8" x14ac:dyDescent="0.3">
      <c r="D191" t="s">
        <v>3</v>
      </c>
      <c r="E191" t="s">
        <v>34</v>
      </c>
      <c r="F191" t="s">
        <v>14</v>
      </c>
      <c r="G191" s="4">
        <v>7259</v>
      </c>
      <c r="H191" s="5">
        <v>276</v>
      </c>
    </row>
    <row r="192" spans="4:8" x14ac:dyDescent="0.3">
      <c r="D192" t="s">
        <v>8</v>
      </c>
      <c r="E192" t="s">
        <v>37</v>
      </c>
      <c r="F192" t="s">
        <v>26</v>
      </c>
      <c r="G192" s="4">
        <v>6279</v>
      </c>
      <c r="H192" s="5">
        <v>45</v>
      </c>
    </row>
    <row r="193" spans="4:8" x14ac:dyDescent="0.3">
      <c r="D193" t="s">
        <v>40</v>
      </c>
      <c r="E193" t="s">
        <v>38</v>
      </c>
      <c r="F193" t="s">
        <v>29</v>
      </c>
      <c r="G193" s="4">
        <v>2541</v>
      </c>
      <c r="H193" s="5">
        <v>45</v>
      </c>
    </row>
    <row r="194" spans="4:8" x14ac:dyDescent="0.3">
      <c r="D194" t="s">
        <v>6</v>
      </c>
      <c r="E194" t="s">
        <v>35</v>
      </c>
      <c r="F194" t="s">
        <v>27</v>
      </c>
      <c r="G194" s="4">
        <v>3864</v>
      </c>
      <c r="H194" s="5">
        <v>177</v>
      </c>
    </row>
    <row r="195" spans="4:8" x14ac:dyDescent="0.3">
      <c r="D195" t="s">
        <v>5</v>
      </c>
      <c r="E195" t="s">
        <v>36</v>
      </c>
      <c r="F195" t="s">
        <v>13</v>
      </c>
      <c r="G195" s="4">
        <v>6146</v>
      </c>
      <c r="H195" s="5">
        <v>63</v>
      </c>
    </row>
    <row r="196" spans="4:8" x14ac:dyDescent="0.3">
      <c r="D196" t="s">
        <v>9</v>
      </c>
      <c r="E196" t="s">
        <v>39</v>
      </c>
      <c r="F196" t="s">
        <v>18</v>
      </c>
      <c r="G196" s="4">
        <v>2639</v>
      </c>
      <c r="H196" s="5">
        <v>204</v>
      </c>
    </row>
    <row r="197" spans="4:8" x14ac:dyDescent="0.3">
      <c r="D197" t="s">
        <v>8</v>
      </c>
      <c r="E197" t="s">
        <v>37</v>
      </c>
      <c r="F197" t="s">
        <v>22</v>
      </c>
      <c r="G197" s="4">
        <v>1890</v>
      </c>
      <c r="H197" s="5">
        <v>195</v>
      </c>
    </row>
    <row r="198" spans="4:8" x14ac:dyDescent="0.3">
      <c r="D198" t="s">
        <v>7</v>
      </c>
      <c r="E198" t="s">
        <v>34</v>
      </c>
      <c r="F198" t="s">
        <v>14</v>
      </c>
      <c r="G198" s="4">
        <v>1932</v>
      </c>
      <c r="H198" s="5">
        <v>369</v>
      </c>
    </row>
    <row r="199" spans="4:8" x14ac:dyDescent="0.3">
      <c r="D199" t="s">
        <v>3</v>
      </c>
      <c r="E199" t="s">
        <v>34</v>
      </c>
      <c r="F199" t="s">
        <v>25</v>
      </c>
      <c r="G199" s="4">
        <v>6300</v>
      </c>
      <c r="H199" s="5">
        <v>42</v>
      </c>
    </row>
    <row r="200" spans="4:8" x14ac:dyDescent="0.3">
      <c r="D200" t="s">
        <v>6</v>
      </c>
      <c r="E200" t="s">
        <v>37</v>
      </c>
      <c r="F200" t="s">
        <v>30</v>
      </c>
      <c r="G200" s="4">
        <v>560</v>
      </c>
      <c r="H200" s="5">
        <v>81</v>
      </c>
    </row>
    <row r="201" spans="4:8" x14ac:dyDescent="0.3">
      <c r="D201" t="s">
        <v>9</v>
      </c>
      <c r="E201" t="s">
        <v>37</v>
      </c>
      <c r="F201" t="s">
        <v>26</v>
      </c>
      <c r="G201" s="4">
        <v>2856</v>
      </c>
      <c r="H201" s="5">
        <v>246</v>
      </c>
    </row>
    <row r="202" spans="4:8" x14ac:dyDescent="0.3">
      <c r="D202" t="s">
        <v>9</v>
      </c>
      <c r="E202" t="s">
        <v>34</v>
      </c>
      <c r="F202" t="s">
        <v>17</v>
      </c>
      <c r="G202" s="4">
        <v>707</v>
      </c>
      <c r="H202" s="5">
        <v>174</v>
      </c>
    </row>
    <row r="203" spans="4:8" x14ac:dyDescent="0.3">
      <c r="D203" t="s">
        <v>8</v>
      </c>
      <c r="E203" t="s">
        <v>35</v>
      </c>
      <c r="F203" t="s">
        <v>30</v>
      </c>
      <c r="G203" s="4">
        <v>3598</v>
      </c>
      <c r="H203" s="5">
        <v>81</v>
      </c>
    </row>
    <row r="204" spans="4:8" x14ac:dyDescent="0.3">
      <c r="D204" t="s">
        <v>40</v>
      </c>
      <c r="E204" t="s">
        <v>35</v>
      </c>
      <c r="F204" t="s">
        <v>22</v>
      </c>
      <c r="G204" s="4">
        <v>6853</v>
      </c>
      <c r="H204" s="5">
        <v>372</v>
      </c>
    </row>
    <row r="205" spans="4:8" x14ac:dyDescent="0.3">
      <c r="D205" t="s">
        <v>40</v>
      </c>
      <c r="E205" t="s">
        <v>35</v>
      </c>
      <c r="F205" t="s">
        <v>16</v>
      </c>
      <c r="G205" s="4">
        <v>4725</v>
      </c>
      <c r="H205" s="5">
        <v>174</v>
      </c>
    </row>
    <row r="206" spans="4:8" x14ac:dyDescent="0.3">
      <c r="D206" t="s">
        <v>41</v>
      </c>
      <c r="E206" t="s">
        <v>36</v>
      </c>
      <c r="F206" t="s">
        <v>32</v>
      </c>
      <c r="G206" s="4">
        <v>10304</v>
      </c>
      <c r="H206" s="5">
        <v>84</v>
      </c>
    </row>
    <row r="207" spans="4:8" x14ac:dyDescent="0.3">
      <c r="D207" t="s">
        <v>41</v>
      </c>
      <c r="E207" t="s">
        <v>34</v>
      </c>
      <c r="F207" t="s">
        <v>16</v>
      </c>
      <c r="G207" s="4">
        <v>1274</v>
      </c>
      <c r="H207" s="5">
        <v>225</v>
      </c>
    </row>
    <row r="208" spans="4:8" x14ac:dyDescent="0.3">
      <c r="D208" t="s">
        <v>5</v>
      </c>
      <c r="E208" t="s">
        <v>36</v>
      </c>
      <c r="F208" t="s">
        <v>30</v>
      </c>
      <c r="G208" s="4">
        <v>1526</v>
      </c>
      <c r="H208" s="5">
        <v>105</v>
      </c>
    </row>
    <row r="209" spans="4:8" x14ac:dyDescent="0.3">
      <c r="D209" t="s">
        <v>40</v>
      </c>
      <c r="E209" t="s">
        <v>39</v>
      </c>
      <c r="F209" t="s">
        <v>28</v>
      </c>
      <c r="G209" s="4">
        <v>3101</v>
      </c>
      <c r="H209" s="5">
        <v>225</v>
      </c>
    </row>
    <row r="210" spans="4:8" x14ac:dyDescent="0.3">
      <c r="D210" t="s">
        <v>2</v>
      </c>
      <c r="E210" t="s">
        <v>37</v>
      </c>
      <c r="F210" t="s">
        <v>14</v>
      </c>
      <c r="G210" s="4">
        <v>1057</v>
      </c>
      <c r="H210" s="5">
        <v>54</v>
      </c>
    </row>
    <row r="211" spans="4:8" x14ac:dyDescent="0.3">
      <c r="D211" t="s">
        <v>7</v>
      </c>
      <c r="E211" t="s">
        <v>37</v>
      </c>
      <c r="F211" t="s">
        <v>26</v>
      </c>
      <c r="G211" s="4">
        <v>5306</v>
      </c>
      <c r="H211" s="5">
        <v>0</v>
      </c>
    </row>
    <row r="212" spans="4:8" x14ac:dyDescent="0.3">
      <c r="D212" t="s">
        <v>5</v>
      </c>
      <c r="E212" t="s">
        <v>39</v>
      </c>
      <c r="F212" t="s">
        <v>24</v>
      </c>
      <c r="G212" s="4">
        <v>4018</v>
      </c>
      <c r="H212" s="5">
        <v>171</v>
      </c>
    </row>
    <row r="213" spans="4:8" x14ac:dyDescent="0.3">
      <c r="D213" t="s">
        <v>9</v>
      </c>
      <c r="E213" t="s">
        <v>34</v>
      </c>
      <c r="F213" t="s">
        <v>16</v>
      </c>
      <c r="G213" s="4">
        <v>938</v>
      </c>
      <c r="H213" s="5">
        <v>189</v>
      </c>
    </row>
    <row r="214" spans="4:8" x14ac:dyDescent="0.3">
      <c r="D214" t="s">
        <v>7</v>
      </c>
      <c r="E214" t="s">
        <v>38</v>
      </c>
      <c r="F214" t="s">
        <v>18</v>
      </c>
      <c r="G214" s="4">
        <v>1778</v>
      </c>
      <c r="H214" s="5">
        <v>270</v>
      </c>
    </row>
    <row r="215" spans="4:8" x14ac:dyDescent="0.3">
      <c r="D215" t="s">
        <v>6</v>
      </c>
      <c r="E215" t="s">
        <v>39</v>
      </c>
      <c r="F215" t="s">
        <v>30</v>
      </c>
      <c r="G215" s="4">
        <v>1638</v>
      </c>
      <c r="H215" s="5">
        <v>63</v>
      </c>
    </row>
    <row r="216" spans="4:8" x14ac:dyDescent="0.3">
      <c r="D216" t="s">
        <v>41</v>
      </c>
      <c r="E216" t="s">
        <v>38</v>
      </c>
      <c r="F216" t="s">
        <v>25</v>
      </c>
      <c r="G216" s="4">
        <v>154</v>
      </c>
      <c r="H216" s="5">
        <v>21</v>
      </c>
    </row>
    <row r="217" spans="4:8" x14ac:dyDescent="0.3">
      <c r="D217" t="s">
        <v>7</v>
      </c>
      <c r="E217" t="s">
        <v>37</v>
      </c>
      <c r="F217" t="s">
        <v>22</v>
      </c>
      <c r="G217" s="4">
        <v>9835</v>
      </c>
      <c r="H217" s="5">
        <v>207</v>
      </c>
    </row>
    <row r="218" spans="4:8" x14ac:dyDescent="0.3">
      <c r="D218" t="s">
        <v>9</v>
      </c>
      <c r="E218" t="s">
        <v>37</v>
      </c>
      <c r="F218" t="s">
        <v>20</v>
      </c>
      <c r="G218" s="4">
        <v>7273</v>
      </c>
      <c r="H218" s="5">
        <v>96</v>
      </c>
    </row>
    <row r="219" spans="4:8" x14ac:dyDescent="0.3">
      <c r="D219" t="s">
        <v>5</v>
      </c>
      <c r="E219" t="s">
        <v>39</v>
      </c>
      <c r="F219" t="s">
        <v>22</v>
      </c>
      <c r="G219" s="4">
        <v>6909</v>
      </c>
      <c r="H219" s="5">
        <v>81</v>
      </c>
    </row>
    <row r="220" spans="4:8" x14ac:dyDescent="0.3">
      <c r="D220" t="s">
        <v>9</v>
      </c>
      <c r="E220" t="s">
        <v>39</v>
      </c>
      <c r="F220" t="s">
        <v>24</v>
      </c>
      <c r="G220" s="4">
        <v>3920</v>
      </c>
      <c r="H220" s="5">
        <v>306</v>
      </c>
    </row>
    <row r="221" spans="4:8" x14ac:dyDescent="0.3">
      <c r="D221" t="s">
        <v>10</v>
      </c>
      <c r="E221" t="s">
        <v>39</v>
      </c>
      <c r="F221" t="s">
        <v>21</v>
      </c>
      <c r="G221" s="4">
        <v>4858</v>
      </c>
      <c r="H221" s="5">
        <v>279</v>
      </c>
    </row>
    <row r="222" spans="4:8" x14ac:dyDescent="0.3">
      <c r="D222" t="s">
        <v>2</v>
      </c>
      <c r="E222" t="s">
        <v>38</v>
      </c>
      <c r="F222" t="s">
        <v>4</v>
      </c>
      <c r="G222" s="4">
        <v>3549</v>
      </c>
      <c r="H222" s="5">
        <v>3</v>
      </c>
    </row>
    <row r="223" spans="4:8" x14ac:dyDescent="0.3">
      <c r="D223" t="s">
        <v>7</v>
      </c>
      <c r="E223" t="s">
        <v>39</v>
      </c>
      <c r="F223" t="s">
        <v>27</v>
      </c>
      <c r="G223" s="4">
        <v>966</v>
      </c>
      <c r="H223" s="5">
        <v>198</v>
      </c>
    </row>
    <row r="224" spans="4:8" x14ac:dyDescent="0.3">
      <c r="D224" t="s">
        <v>5</v>
      </c>
      <c r="E224" t="s">
        <v>39</v>
      </c>
      <c r="F224" t="s">
        <v>18</v>
      </c>
      <c r="G224" s="4">
        <v>385</v>
      </c>
      <c r="H224" s="5">
        <v>249</v>
      </c>
    </row>
    <row r="225" spans="4:8" x14ac:dyDescent="0.3">
      <c r="D225" t="s">
        <v>6</v>
      </c>
      <c r="E225" t="s">
        <v>34</v>
      </c>
      <c r="F225" t="s">
        <v>16</v>
      </c>
      <c r="G225" s="4">
        <v>2219</v>
      </c>
      <c r="H225" s="5">
        <v>75</v>
      </c>
    </row>
    <row r="226" spans="4:8" x14ac:dyDescent="0.3">
      <c r="D226" t="s">
        <v>9</v>
      </c>
      <c r="E226" t="s">
        <v>36</v>
      </c>
      <c r="F226" t="s">
        <v>32</v>
      </c>
      <c r="G226" s="4">
        <v>2954</v>
      </c>
      <c r="H226" s="5">
        <v>189</v>
      </c>
    </row>
    <row r="227" spans="4:8" x14ac:dyDescent="0.3">
      <c r="D227" t="s">
        <v>7</v>
      </c>
      <c r="E227" t="s">
        <v>36</v>
      </c>
      <c r="F227" t="s">
        <v>32</v>
      </c>
      <c r="G227" s="4">
        <v>280</v>
      </c>
      <c r="H227" s="5">
        <v>87</v>
      </c>
    </row>
    <row r="228" spans="4:8" x14ac:dyDescent="0.3">
      <c r="D228" t="s">
        <v>41</v>
      </c>
      <c r="E228" t="s">
        <v>36</v>
      </c>
      <c r="F228" t="s">
        <v>30</v>
      </c>
      <c r="G228" s="4">
        <v>6118</v>
      </c>
      <c r="H228" s="5">
        <v>174</v>
      </c>
    </row>
    <row r="229" spans="4:8" x14ac:dyDescent="0.3">
      <c r="D229" t="s">
        <v>2</v>
      </c>
      <c r="E229" t="s">
        <v>39</v>
      </c>
      <c r="F229" t="s">
        <v>15</v>
      </c>
      <c r="G229" s="4">
        <v>4802</v>
      </c>
      <c r="H229" s="5">
        <v>36</v>
      </c>
    </row>
    <row r="230" spans="4:8" x14ac:dyDescent="0.3">
      <c r="D230" t="s">
        <v>9</v>
      </c>
      <c r="E230" t="s">
        <v>38</v>
      </c>
      <c r="F230" t="s">
        <v>24</v>
      </c>
      <c r="G230" s="4">
        <v>4137</v>
      </c>
      <c r="H230" s="5">
        <v>60</v>
      </c>
    </row>
    <row r="231" spans="4:8" x14ac:dyDescent="0.3">
      <c r="D231" t="s">
        <v>3</v>
      </c>
      <c r="E231" t="s">
        <v>35</v>
      </c>
      <c r="F231" t="s">
        <v>23</v>
      </c>
      <c r="G231" s="4">
        <v>2023</v>
      </c>
      <c r="H231" s="5">
        <v>78</v>
      </c>
    </row>
    <row r="232" spans="4:8" x14ac:dyDescent="0.3">
      <c r="D232" t="s">
        <v>9</v>
      </c>
      <c r="E232" t="s">
        <v>36</v>
      </c>
      <c r="F232" t="s">
        <v>30</v>
      </c>
      <c r="G232" s="4">
        <v>9051</v>
      </c>
      <c r="H232" s="5">
        <v>57</v>
      </c>
    </row>
    <row r="233" spans="4:8" x14ac:dyDescent="0.3">
      <c r="D233" t="s">
        <v>9</v>
      </c>
      <c r="E233" t="s">
        <v>37</v>
      </c>
      <c r="F233" t="s">
        <v>28</v>
      </c>
      <c r="G233" s="4">
        <v>2919</v>
      </c>
      <c r="H233" s="5">
        <v>45</v>
      </c>
    </row>
    <row r="234" spans="4:8" x14ac:dyDescent="0.3">
      <c r="D234" t="s">
        <v>41</v>
      </c>
      <c r="E234" t="s">
        <v>38</v>
      </c>
      <c r="F234" t="s">
        <v>22</v>
      </c>
      <c r="G234" s="4">
        <v>5915</v>
      </c>
      <c r="H234" s="5">
        <v>3</v>
      </c>
    </row>
    <row r="235" spans="4:8" x14ac:dyDescent="0.3">
      <c r="D235" t="s">
        <v>10</v>
      </c>
      <c r="E235" t="s">
        <v>35</v>
      </c>
      <c r="F235" t="s">
        <v>15</v>
      </c>
      <c r="G235" s="4">
        <v>2562</v>
      </c>
      <c r="H235" s="5">
        <v>6</v>
      </c>
    </row>
    <row r="236" spans="4:8" x14ac:dyDescent="0.3">
      <c r="D236" t="s">
        <v>5</v>
      </c>
      <c r="E236" t="s">
        <v>37</v>
      </c>
      <c r="F236" t="s">
        <v>25</v>
      </c>
      <c r="G236" s="4">
        <v>8813</v>
      </c>
      <c r="H236" s="5">
        <v>21</v>
      </c>
    </row>
    <row r="237" spans="4:8" x14ac:dyDescent="0.3">
      <c r="D237" t="s">
        <v>5</v>
      </c>
      <c r="E237" t="s">
        <v>36</v>
      </c>
      <c r="F237" t="s">
        <v>18</v>
      </c>
      <c r="G237" s="4">
        <v>6111</v>
      </c>
      <c r="H237" s="5">
        <v>3</v>
      </c>
    </row>
    <row r="238" spans="4:8" x14ac:dyDescent="0.3">
      <c r="D238" t="s">
        <v>8</v>
      </c>
      <c r="E238" t="s">
        <v>34</v>
      </c>
      <c r="F238" t="s">
        <v>31</v>
      </c>
      <c r="G238" s="4">
        <v>3507</v>
      </c>
      <c r="H238" s="5">
        <v>288</v>
      </c>
    </row>
    <row r="239" spans="4:8" x14ac:dyDescent="0.3">
      <c r="D239" t="s">
        <v>6</v>
      </c>
      <c r="E239" t="s">
        <v>36</v>
      </c>
      <c r="F239" t="s">
        <v>13</v>
      </c>
      <c r="G239" s="4">
        <v>4319</v>
      </c>
      <c r="H239" s="5">
        <v>30</v>
      </c>
    </row>
    <row r="240" spans="4:8" x14ac:dyDescent="0.3">
      <c r="D240" t="s">
        <v>40</v>
      </c>
      <c r="E240" t="s">
        <v>38</v>
      </c>
      <c r="F240" t="s">
        <v>26</v>
      </c>
      <c r="G240" s="4">
        <v>609</v>
      </c>
      <c r="H240" s="5">
        <v>87</v>
      </c>
    </row>
    <row r="241" spans="4:8" x14ac:dyDescent="0.3">
      <c r="D241" t="s">
        <v>40</v>
      </c>
      <c r="E241" t="s">
        <v>39</v>
      </c>
      <c r="F241" t="s">
        <v>27</v>
      </c>
      <c r="G241" s="4">
        <v>6370</v>
      </c>
      <c r="H241" s="5">
        <v>30</v>
      </c>
    </row>
    <row r="242" spans="4:8" x14ac:dyDescent="0.3">
      <c r="D242" t="s">
        <v>5</v>
      </c>
      <c r="E242" t="s">
        <v>38</v>
      </c>
      <c r="F242" t="s">
        <v>19</v>
      </c>
      <c r="G242" s="4">
        <v>5474</v>
      </c>
      <c r="H242" s="5">
        <v>168</v>
      </c>
    </row>
    <row r="243" spans="4:8" x14ac:dyDescent="0.3">
      <c r="D243" t="s">
        <v>40</v>
      </c>
      <c r="E243" t="s">
        <v>36</v>
      </c>
      <c r="F243" t="s">
        <v>27</v>
      </c>
      <c r="G243" s="4">
        <v>3164</v>
      </c>
      <c r="H243" s="5">
        <v>306</v>
      </c>
    </row>
    <row r="244" spans="4:8" x14ac:dyDescent="0.3">
      <c r="D244" t="s">
        <v>6</v>
      </c>
      <c r="E244" t="s">
        <v>35</v>
      </c>
      <c r="F244" t="s">
        <v>4</v>
      </c>
      <c r="G244" s="4">
        <v>1302</v>
      </c>
      <c r="H244" s="5">
        <v>402</v>
      </c>
    </row>
    <row r="245" spans="4:8" x14ac:dyDescent="0.3">
      <c r="D245" t="s">
        <v>3</v>
      </c>
      <c r="E245" t="s">
        <v>37</v>
      </c>
      <c r="F245" t="s">
        <v>28</v>
      </c>
      <c r="G245" s="4">
        <v>7308</v>
      </c>
      <c r="H245" s="5">
        <v>327</v>
      </c>
    </row>
    <row r="246" spans="4:8" x14ac:dyDescent="0.3">
      <c r="D246" t="s">
        <v>40</v>
      </c>
      <c r="E246" t="s">
        <v>37</v>
      </c>
      <c r="F246" t="s">
        <v>27</v>
      </c>
      <c r="G246" s="4">
        <v>6132</v>
      </c>
      <c r="H246" s="5">
        <v>93</v>
      </c>
    </row>
    <row r="247" spans="4:8" x14ac:dyDescent="0.3">
      <c r="D247" t="s">
        <v>10</v>
      </c>
      <c r="E247" t="s">
        <v>35</v>
      </c>
      <c r="F247" t="s">
        <v>14</v>
      </c>
      <c r="G247" s="4">
        <v>3472</v>
      </c>
      <c r="H247" s="5">
        <v>96</v>
      </c>
    </row>
    <row r="248" spans="4:8" x14ac:dyDescent="0.3">
      <c r="D248" t="s">
        <v>8</v>
      </c>
      <c r="E248" t="s">
        <v>39</v>
      </c>
      <c r="F248" t="s">
        <v>18</v>
      </c>
      <c r="G248" s="4">
        <v>9660</v>
      </c>
      <c r="H248" s="5">
        <v>27</v>
      </c>
    </row>
    <row r="249" spans="4:8" x14ac:dyDescent="0.3">
      <c r="D249" t="s">
        <v>9</v>
      </c>
      <c r="E249" t="s">
        <v>38</v>
      </c>
      <c r="F249" t="s">
        <v>26</v>
      </c>
      <c r="G249" s="4">
        <v>2436</v>
      </c>
      <c r="H249" s="5">
        <v>99</v>
      </c>
    </row>
    <row r="250" spans="4:8" x14ac:dyDescent="0.3">
      <c r="D250" t="s">
        <v>9</v>
      </c>
      <c r="E250" t="s">
        <v>38</v>
      </c>
      <c r="F250" t="s">
        <v>33</v>
      </c>
      <c r="G250" s="4">
        <v>9506</v>
      </c>
      <c r="H250" s="5">
        <v>87</v>
      </c>
    </row>
    <row r="251" spans="4:8" x14ac:dyDescent="0.3">
      <c r="D251" t="s">
        <v>10</v>
      </c>
      <c r="E251" t="s">
        <v>37</v>
      </c>
      <c r="F251" t="s">
        <v>21</v>
      </c>
      <c r="G251" s="4">
        <v>245</v>
      </c>
      <c r="H251" s="5">
        <v>288</v>
      </c>
    </row>
    <row r="252" spans="4:8" x14ac:dyDescent="0.3">
      <c r="D252" t="s">
        <v>8</v>
      </c>
      <c r="E252" t="s">
        <v>35</v>
      </c>
      <c r="F252" t="s">
        <v>20</v>
      </c>
      <c r="G252" s="4">
        <v>2702</v>
      </c>
      <c r="H252" s="5">
        <v>363</v>
      </c>
    </row>
    <row r="253" spans="4:8" x14ac:dyDescent="0.3">
      <c r="D253" t="s">
        <v>10</v>
      </c>
      <c r="E253" t="s">
        <v>34</v>
      </c>
      <c r="F253" t="s">
        <v>17</v>
      </c>
      <c r="G253" s="4">
        <v>700</v>
      </c>
      <c r="H253" s="5">
        <v>87</v>
      </c>
    </row>
    <row r="254" spans="4:8" x14ac:dyDescent="0.3">
      <c r="D254" t="s">
        <v>6</v>
      </c>
      <c r="E254" t="s">
        <v>34</v>
      </c>
      <c r="F254" t="s">
        <v>17</v>
      </c>
      <c r="G254" s="4">
        <v>3759</v>
      </c>
      <c r="H254" s="5">
        <v>150</v>
      </c>
    </row>
    <row r="255" spans="4:8" x14ac:dyDescent="0.3">
      <c r="D255" t="s">
        <v>2</v>
      </c>
      <c r="E255" t="s">
        <v>35</v>
      </c>
      <c r="F255" t="s">
        <v>17</v>
      </c>
      <c r="G255" s="4">
        <v>1589</v>
      </c>
      <c r="H255" s="5">
        <v>303</v>
      </c>
    </row>
    <row r="256" spans="4:8" x14ac:dyDescent="0.3">
      <c r="D256" t="s">
        <v>7</v>
      </c>
      <c r="E256" t="s">
        <v>35</v>
      </c>
      <c r="F256" t="s">
        <v>28</v>
      </c>
      <c r="G256" s="4">
        <v>5194</v>
      </c>
      <c r="H256" s="5">
        <v>288</v>
      </c>
    </row>
    <row r="257" spans="4:8" x14ac:dyDescent="0.3">
      <c r="D257" t="s">
        <v>10</v>
      </c>
      <c r="E257" t="s">
        <v>36</v>
      </c>
      <c r="F257" t="s">
        <v>13</v>
      </c>
      <c r="G257" s="4">
        <v>945</v>
      </c>
      <c r="H257" s="5">
        <v>75</v>
      </c>
    </row>
    <row r="258" spans="4:8" x14ac:dyDescent="0.3">
      <c r="D258" t="s">
        <v>40</v>
      </c>
      <c r="E258" t="s">
        <v>38</v>
      </c>
      <c r="F258" t="s">
        <v>31</v>
      </c>
      <c r="G258" s="4">
        <v>1988</v>
      </c>
      <c r="H258" s="5">
        <v>39</v>
      </c>
    </row>
    <row r="259" spans="4:8" x14ac:dyDescent="0.3">
      <c r="D259" t="s">
        <v>6</v>
      </c>
      <c r="E259" t="s">
        <v>34</v>
      </c>
      <c r="F259" t="s">
        <v>32</v>
      </c>
      <c r="G259" s="4">
        <v>6734</v>
      </c>
      <c r="H259" s="5">
        <v>123</v>
      </c>
    </row>
    <row r="260" spans="4:8" x14ac:dyDescent="0.3">
      <c r="D260" t="s">
        <v>40</v>
      </c>
      <c r="E260" t="s">
        <v>36</v>
      </c>
      <c r="F260" t="s">
        <v>4</v>
      </c>
      <c r="G260" s="4">
        <v>217</v>
      </c>
      <c r="H260" s="5">
        <v>36</v>
      </c>
    </row>
    <row r="261" spans="4:8" x14ac:dyDescent="0.3">
      <c r="D261" t="s">
        <v>5</v>
      </c>
      <c r="E261" t="s">
        <v>34</v>
      </c>
      <c r="F261" t="s">
        <v>22</v>
      </c>
      <c r="G261" s="4">
        <v>6279</v>
      </c>
      <c r="H261" s="5">
        <v>237</v>
      </c>
    </row>
    <row r="262" spans="4:8" x14ac:dyDescent="0.3">
      <c r="D262" t="s">
        <v>40</v>
      </c>
      <c r="E262" t="s">
        <v>36</v>
      </c>
      <c r="F262" t="s">
        <v>13</v>
      </c>
      <c r="G262" s="4">
        <v>4424</v>
      </c>
      <c r="H262" s="5">
        <v>201</v>
      </c>
    </row>
    <row r="263" spans="4:8" x14ac:dyDescent="0.3">
      <c r="D263" t="s">
        <v>2</v>
      </c>
      <c r="E263" t="s">
        <v>36</v>
      </c>
      <c r="F263" t="s">
        <v>17</v>
      </c>
      <c r="G263" s="4">
        <v>189</v>
      </c>
      <c r="H263" s="5">
        <v>48</v>
      </c>
    </row>
    <row r="264" spans="4:8" x14ac:dyDescent="0.3">
      <c r="D264" t="s">
        <v>5</v>
      </c>
      <c r="E264" t="s">
        <v>35</v>
      </c>
      <c r="F264" t="s">
        <v>22</v>
      </c>
      <c r="G264" s="4">
        <v>490</v>
      </c>
      <c r="H264" s="5">
        <v>84</v>
      </c>
    </row>
    <row r="265" spans="4:8" x14ac:dyDescent="0.3">
      <c r="D265" t="s">
        <v>8</v>
      </c>
      <c r="E265" t="s">
        <v>37</v>
      </c>
      <c r="F265" t="s">
        <v>21</v>
      </c>
      <c r="G265" s="4">
        <v>434</v>
      </c>
      <c r="H265" s="5">
        <v>87</v>
      </c>
    </row>
    <row r="266" spans="4:8" x14ac:dyDescent="0.3">
      <c r="D266" t="s">
        <v>7</v>
      </c>
      <c r="E266" t="s">
        <v>38</v>
      </c>
      <c r="F266" t="s">
        <v>30</v>
      </c>
      <c r="G266" s="4">
        <v>10129</v>
      </c>
      <c r="H266" s="5">
        <v>312</v>
      </c>
    </row>
    <row r="267" spans="4:8" x14ac:dyDescent="0.3">
      <c r="D267" t="s">
        <v>3</v>
      </c>
      <c r="E267" t="s">
        <v>39</v>
      </c>
      <c r="F267" t="s">
        <v>28</v>
      </c>
      <c r="G267" s="4">
        <v>1652</v>
      </c>
      <c r="H267" s="5">
        <v>102</v>
      </c>
    </row>
    <row r="268" spans="4:8" x14ac:dyDescent="0.3">
      <c r="D268" t="s">
        <v>8</v>
      </c>
      <c r="E268" t="s">
        <v>38</v>
      </c>
      <c r="F268" t="s">
        <v>21</v>
      </c>
      <c r="G268" s="4">
        <v>6433</v>
      </c>
      <c r="H268" s="5">
        <v>78</v>
      </c>
    </row>
    <row r="269" spans="4:8" x14ac:dyDescent="0.3">
      <c r="D269" t="s">
        <v>3</v>
      </c>
      <c r="E269" t="s">
        <v>34</v>
      </c>
      <c r="F269" t="s">
        <v>23</v>
      </c>
      <c r="G269" s="4">
        <v>2212</v>
      </c>
      <c r="H269" s="5">
        <v>117</v>
      </c>
    </row>
    <row r="270" spans="4:8" x14ac:dyDescent="0.3">
      <c r="D270" t="s">
        <v>41</v>
      </c>
      <c r="E270" t="s">
        <v>35</v>
      </c>
      <c r="F270" t="s">
        <v>19</v>
      </c>
      <c r="G270" s="4">
        <v>609</v>
      </c>
      <c r="H270" s="5">
        <v>99</v>
      </c>
    </row>
    <row r="271" spans="4:8" x14ac:dyDescent="0.3">
      <c r="D271" t="s">
        <v>40</v>
      </c>
      <c r="E271" t="s">
        <v>35</v>
      </c>
      <c r="F271" t="s">
        <v>24</v>
      </c>
      <c r="G271" s="4">
        <v>1638</v>
      </c>
      <c r="H271" s="5">
        <v>48</v>
      </c>
    </row>
    <row r="272" spans="4:8" x14ac:dyDescent="0.3">
      <c r="D272" t="s">
        <v>7</v>
      </c>
      <c r="E272" t="s">
        <v>34</v>
      </c>
      <c r="F272" t="s">
        <v>15</v>
      </c>
      <c r="G272" s="4">
        <v>3829</v>
      </c>
      <c r="H272" s="5">
        <v>24</v>
      </c>
    </row>
    <row r="273" spans="4:8" x14ac:dyDescent="0.3">
      <c r="D273" t="s">
        <v>40</v>
      </c>
      <c r="E273" t="s">
        <v>39</v>
      </c>
      <c r="F273" t="s">
        <v>15</v>
      </c>
      <c r="G273" s="4">
        <v>5775</v>
      </c>
      <c r="H273" s="5">
        <v>42</v>
      </c>
    </row>
    <row r="274" spans="4:8" x14ac:dyDescent="0.3">
      <c r="D274" t="s">
        <v>6</v>
      </c>
      <c r="E274" t="s">
        <v>35</v>
      </c>
      <c r="F274" t="s">
        <v>20</v>
      </c>
      <c r="G274" s="4">
        <v>1071</v>
      </c>
      <c r="H274" s="5">
        <v>270</v>
      </c>
    </row>
    <row r="275" spans="4:8" x14ac:dyDescent="0.3">
      <c r="D275" t="s">
        <v>8</v>
      </c>
      <c r="E275" t="s">
        <v>36</v>
      </c>
      <c r="F275" t="s">
        <v>23</v>
      </c>
      <c r="G275" s="4">
        <v>5019</v>
      </c>
      <c r="H275" s="5">
        <v>150</v>
      </c>
    </row>
    <row r="276" spans="4:8" x14ac:dyDescent="0.3">
      <c r="D276" t="s">
        <v>2</v>
      </c>
      <c r="E276" t="s">
        <v>37</v>
      </c>
      <c r="F276" t="s">
        <v>15</v>
      </c>
      <c r="G276" s="4">
        <v>2863</v>
      </c>
      <c r="H276" s="5">
        <v>42</v>
      </c>
    </row>
    <row r="277" spans="4:8" x14ac:dyDescent="0.3">
      <c r="D277" t="s">
        <v>40</v>
      </c>
      <c r="E277" t="s">
        <v>35</v>
      </c>
      <c r="F277" t="s">
        <v>29</v>
      </c>
      <c r="G277" s="4">
        <v>1617</v>
      </c>
      <c r="H277" s="5">
        <v>126</v>
      </c>
    </row>
    <row r="278" spans="4:8" x14ac:dyDescent="0.3">
      <c r="D278" t="s">
        <v>6</v>
      </c>
      <c r="E278" t="s">
        <v>37</v>
      </c>
      <c r="F278" t="s">
        <v>26</v>
      </c>
      <c r="G278" s="4">
        <v>6818</v>
      </c>
      <c r="H278" s="5">
        <v>6</v>
      </c>
    </row>
    <row r="279" spans="4:8" x14ac:dyDescent="0.3">
      <c r="D279" t="s">
        <v>3</v>
      </c>
      <c r="E279" t="s">
        <v>35</v>
      </c>
      <c r="F279" t="s">
        <v>15</v>
      </c>
      <c r="G279" s="4">
        <v>6657</v>
      </c>
      <c r="H279" s="5">
        <v>276</v>
      </c>
    </row>
    <row r="280" spans="4:8" x14ac:dyDescent="0.3">
      <c r="D280" t="s">
        <v>3</v>
      </c>
      <c r="E280" t="s">
        <v>34</v>
      </c>
      <c r="F280" t="s">
        <v>17</v>
      </c>
      <c r="G280" s="4">
        <v>2919</v>
      </c>
      <c r="H280" s="5">
        <v>93</v>
      </c>
    </row>
    <row r="281" spans="4:8" x14ac:dyDescent="0.3">
      <c r="D281" t="s">
        <v>2</v>
      </c>
      <c r="E281" t="s">
        <v>36</v>
      </c>
      <c r="F281" t="s">
        <v>31</v>
      </c>
      <c r="G281" s="4">
        <v>3094</v>
      </c>
      <c r="H281" s="5">
        <v>246</v>
      </c>
    </row>
    <row r="282" spans="4:8" x14ac:dyDescent="0.3">
      <c r="D282" t="s">
        <v>6</v>
      </c>
      <c r="E282" t="s">
        <v>39</v>
      </c>
      <c r="F282" t="s">
        <v>24</v>
      </c>
      <c r="G282" s="4">
        <v>2989</v>
      </c>
      <c r="H282" s="5">
        <v>3</v>
      </c>
    </row>
    <row r="283" spans="4:8" x14ac:dyDescent="0.3">
      <c r="D283" t="s">
        <v>8</v>
      </c>
      <c r="E283" t="s">
        <v>38</v>
      </c>
      <c r="F283" t="s">
        <v>27</v>
      </c>
      <c r="G283" s="4">
        <v>2268</v>
      </c>
      <c r="H283" s="5">
        <v>63</v>
      </c>
    </row>
    <row r="284" spans="4:8" x14ac:dyDescent="0.3">
      <c r="D284" t="s">
        <v>5</v>
      </c>
      <c r="E284" t="s">
        <v>35</v>
      </c>
      <c r="F284" t="s">
        <v>31</v>
      </c>
      <c r="G284" s="4">
        <v>4753</v>
      </c>
      <c r="H284" s="5">
        <v>246</v>
      </c>
    </row>
    <row r="285" spans="4:8" x14ac:dyDescent="0.3">
      <c r="D285" t="s">
        <v>2</v>
      </c>
      <c r="E285" t="s">
        <v>34</v>
      </c>
      <c r="F285" t="s">
        <v>19</v>
      </c>
      <c r="G285" s="4">
        <v>7511</v>
      </c>
      <c r="H285" s="5">
        <v>120</v>
      </c>
    </row>
    <row r="286" spans="4:8" x14ac:dyDescent="0.3">
      <c r="D286" t="s">
        <v>2</v>
      </c>
      <c r="E286" t="s">
        <v>38</v>
      </c>
      <c r="F286" t="s">
        <v>31</v>
      </c>
      <c r="G286" s="4">
        <v>4326</v>
      </c>
      <c r="H286" s="5">
        <v>348</v>
      </c>
    </row>
    <row r="287" spans="4:8" x14ac:dyDescent="0.3">
      <c r="D287" t="s">
        <v>41</v>
      </c>
      <c r="E287" t="s">
        <v>34</v>
      </c>
      <c r="F287" t="s">
        <v>23</v>
      </c>
      <c r="G287" s="4">
        <v>4935</v>
      </c>
      <c r="H287" s="5">
        <v>126</v>
      </c>
    </row>
    <row r="288" spans="4:8" x14ac:dyDescent="0.3">
      <c r="D288" t="s">
        <v>6</v>
      </c>
      <c r="E288" t="s">
        <v>35</v>
      </c>
      <c r="F288" t="s">
        <v>30</v>
      </c>
      <c r="G288" s="4">
        <v>4781</v>
      </c>
      <c r="H288" s="5">
        <v>123</v>
      </c>
    </row>
    <row r="289" spans="4:8" x14ac:dyDescent="0.3">
      <c r="D289" t="s">
        <v>5</v>
      </c>
      <c r="E289" t="s">
        <v>38</v>
      </c>
      <c r="F289" t="s">
        <v>25</v>
      </c>
      <c r="G289" s="4">
        <v>7483</v>
      </c>
      <c r="H289" s="5">
        <v>45</v>
      </c>
    </row>
    <row r="290" spans="4:8" x14ac:dyDescent="0.3">
      <c r="D290" t="s">
        <v>10</v>
      </c>
      <c r="E290" t="s">
        <v>38</v>
      </c>
      <c r="F290" t="s">
        <v>4</v>
      </c>
      <c r="G290" s="4">
        <v>6860</v>
      </c>
      <c r="H290" s="5">
        <v>126</v>
      </c>
    </row>
    <row r="291" spans="4:8" x14ac:dyDescent="0.3">
      <c r="D291" t="s">
        <v>40</v>
      </c>
      <c r="E291" t="s">
        <v>37</v>
      </c>
      <c r="F291" t="s">
        <v>29</v>
      </c>
      <c r="G291" s="4">
        <v>9002</v>
      </c>
      <c r="H291" s="5">
        <v>72</v>
      </c>
    </row>
    <row r="292" spans="4:8" x14ac:dyDescent="0.3">
      <c r="D292" t="s">
        <v>6</v>
      </c>
      <c r="E292" t="s">
        <v>36</v>
      </c>
      <c r="F292" t="s">
        <v>29</v>
      </c>
      <c r="G292" s="4">
        <v>1400</v>
      </c>
      <c r="H292" s="5">
        <v>135</v>
      </c>
    </row>
    <row r="293" spans="4:8" x14ac:dyDescent="0.3">
      <c r="D293" t="s">
        <v>10</v>
      </c>
      <c r="E293" t="s">
        <v>34</v>
      </c>
      <c r="F293" t="s">
        <v>22</v>
      </c>
      <c r="G293" s="4">
        <v>4053</v>
      </c>
      <c r="H293" s="5">
        <v>24</v>
      </c>
    </row>
    <row r="294" spans="4:8" x14ac:dyDescent="0.3">
      <c r="D294" t="s">
        <v>7</v>
      </c>
      <c r="E294" t="s">
        <v>36</v>
      </c>
      <c r="F294" t="s">
        <v>31</v>
      </c>
      <c r="G294" s="4">
        <v>2149</v>
      </c>
      <c r="H294" s="5">
        <v>117</v>
      </c>
    </row>
    <row r="295" spans="4:8" x14ac:dyDescent="0.3">
      <c r="D295" t="s">
        <v>3</v>
      </c>
      <c r="E295" t="s">
        <v>39</v>
      </c>
      <c r="F295" t="s">
        <v>29</v>
      </c>
      <c r="G295" s="4">
        <v>3640</v>
      </c>
      <c r="H295" s="5">
        <v>51</v>
      </c>
    </row>
    <row r="296" spans="4:8" x14ac:dyDescent="0.3">
      <c r="D296" t="s">
        <v>2</v>
      </c>
      <c r="E296" t="s">
        <v>39</v>
      </c>
      <c r="F296" t="s">
        <v>23</v>
      </c>
      <c r="G296" s="4">
        <v>630</v>
      </c>
      <c r="H296" s="5">
        <v>36</v>
      </c>
    </row>
    <row r="297" spans="4:8" x14ac:dyDescent="0.3">
      <c r="D297" t="s">
        <v>9</v>
      </c>
      <c r="E297" t="s">
        <v>35</v>
      </c>
      <c r="F297" t="s">
        <v>27</v>
      </c>
      <c r="G297" s="4">
        <v>2429</v>
      </c>
      <c r="H297" s="5">
        <v>144</v>
      </c>
    </row>
    <row r="298" spans="4:8" x14ac:dyDescent="0.3">
      <c r="D298" t="s">
        <v>9</v>
      </c>
      <c r="E298" t="s">
        <v>36</v>
      </c>
      <c r="F298" t="s">
        <v>25</v>
      </c>
      <c r="G298" s="4">
        <v>2142</v>
      </c>
      <c r="H298" s="5">
        <v>114</v>
      </c>
    </row>
    <row r="299" spans="4:8" x14ac:dyDescent="0.3">
      <c r="D299" t="s">
        <v>7</v>
      </c>
      <c r="E299" t="s">
        <v>37</v>
      </c>
      <c r="F299" t="s">
        <v>30</v>
      </c>
      <c r="G299" s="4">
        <v>6454</v>
      </c>
      <c r="H299" s="5">
        <v>54</v>
      </c>
    </row>
    <row r="300" spans="4:8" x14ac:dyDescent="0.3">
      <c r="D300" t="s">
        <v>7</v>
      </c>
      <c r="E300" t="s">
        <v>37</v>
      </c>
      <c r="F300" t="s">
        <v>16</v>
      </c>
      <c r="G300" s="4">
        <v>4487</v>
      </c>
      <c r="H300" s="5">
        <v>333</v>
      </c>
    </row>
    <row r="301" spans="4:8" x14ac:dyDescent="0.3">
      <c r="D301" t="s">
        <v>3</v>
      </c>
      <c r="E301" t="s">
        <v>37</v>
      </c>
      <c r="F301" t="s">
        <v>4</v>
      </c>
      <c r="G301" s="4">
        <v>938</v>
      </c>
      <c r="H301" s="5">
        <v>366</v>
      </c>
    </row>
    <row r="302" spans="4:8" x14ac:dyDescent="0.3">
      <c r="D302" t="s">
        <v>3</v>
      </c>
      <c r="E302" t="s">
        <v>38</v>
      </c>
      <c r="F302" t="s">
        <v>26</v>
      </c>
      <c r="G302" s="4">
        <v>8841</v>
      </c>
      <c r="H302" s="5">
        <v>303</v>
      </c>
    </row>
    <row r="303" spans="4:8" x14ac:dyDescent="0.3">
      <c r="D303" t="s">
        <v>2</v>
      </c>
      <c r="E303" t="s">
        <v>39</v>
      </c>
      <c r="F303" t="s">
        <v>33</v>
      </c>
      <c r="G303" s="4">
        <v>4018</v>
      </c>
      <c r="H303" s="5">
        <v>126</v>
      </c>
    </row>
    <row r="304" spans="4:8" x14ac:dyDescent="0.3">
      <c r="D304" t="s">
        <v>41</v>
      </c>
      <c r="E304" t="s">
        <v>37</v>
      </c>
      <c r="F304" t="s">
        <v>15</v>
      </c>
      <c r="G304" s="4">
        <v>714</v>
      </c>
      <c r="H304" s="5">
        <v>231</v>
      </c>
    </row>
    <row r="305" spans="4:8" x14ac:dyDescent="0.3">
      <c r="D305" t="s">
        <v>9</v>
      </c>
      <c r="E305" t="s">
        <v>38</v>
      </c>
      <c r="F305" t="s">
        <v>25</v>
      </c>
      <c r="G305" s="4">
        <v>3850</v>
      </c>
      <c r="H305" s="5">
        <v>102</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B456-45E3-4997-9684-24C4D7F49585}">
  <dimension ref="A1:Y18"/>
  <sheetViews>
    <sheetView workbookViewId="0">
      <selection activeCell="K14" sqref="K14"/>
    </sheetView>
  </sheetViews>
  <sheetFormatPr defaultRowHeight="14.4" x14ac:dyDescent="0.3"/>
  <cols>
    <col min="1" max="1" width="3.77734375" customWidth="1"/>
    <col min="4" max="4" width="15.5546875" bestFit="1" customWidth="1"/>
    <col min="5" max="5" width="14.44140625" bestFit="1" customWidth="1"/>
    <col min="10" max="10" width="15.5546875" bestFit="1" customWidth="1"/>
    <col min="11" max="11" width="14.44140625" bestFit="1" customWidth="1"/>
  </cols>
  <sheetData>
    <row r="1" spans="1:25" ht="25.8" x14ac:dyDescent="0.5">
      <c r="A1" s="24">
        <v>7</v>
      </c>
      <c r="B1" s="34" t="s">
        <v>81</v>
      </c>
      <c r="C1" s="34"/>
      <c r="D1" s="34"/>
      <c r="E1" s="23"/>
      <c r="F1" s="23"/>
      <c r="G1" s="23"/>
      <c r="H1" s="23"/>
      <c r="I1" s="23"/>
      <c r="J1" s="23"/>
      <c r="K1" s="23"/>
      <c r="L1" s="23"/>
      <c r="M1" s="23"/>
      <c r="N1" s="23"/>
      <c r="O1" s="23"/>
      <c r="P1" s="23"/>
      <c r="Q1" s="23"/>
      <c r="R1" s="23"/>
      <c r="S1" s="23"/>
      <c r="T1" s="23"/>
      <c r="U1" s="23"/>
      <c r="V1" s="23"/>
      <c r="W1" s="23"/>
      <c r="X1" s="23"/>
      <c r="Y1" s="23"/>
    </row>
    <row r="2" spans="1:25" x14ac:dyDescent="0.3">
      <c r="A2" s="22"/>
      <c r="B2" s="23"/>
      <c r="C2" s="23"/>
      <c r="D2" s="23"/>
      <c r="E2" s="23"/>
      <c r="F2" s="23"/>
      <c r="G2" s="23"/>
      <c r="H2" s="23"/>
      <c r="I2" s="23"/>
      <c r="J2" s="23"/>
      <c r="K2" s="23"/>
      <c r="L2" s="23"/>
      <c r="M2" s="23"/>
      <c r="N2" s="23"/>
      <c r="O2" s="23"/>
      <c r="P2" s="23"/>
      <c r="Q2" s="23"/>
      <c r="R2" s="23"/>
      <c r="S2" s="23"/>
      <c r="T2" s="23"/>
      <c r="U2" s="23"/>
      <c r="V2" s="23"/>
      <c r="W2" s="23"/>
      <c r="X2" s="23"/>
      <c r="Y2" s="23"/>
    </row>
    <row r="5" spans="1:25" x14ac:dyDescent="0.3">
      <c r="D5" s="43" t="s">
        <v>73</v>
      </c>
      <c r="E5" t="s">
        <v>75</v>
      </c>
      <c r="J5" s="43" t="s">
        <v>73</v>
      </c>
      <c r="K5" t="s">
        <v>75</v>
      </c>
    </row>
    <row r="6" spans="1:25" x14ac:dyDescent="0.3">
      <c r="D6" s="44" t="s">
        <v>38</v>
      </c>
      <c r="E6" s="14">
        <v>25221</v>
      </c>
      <c r="J6" s="44" t="s">
        <v>38</v>
      </c>
      <c r="K6" s="14">
        <v>6069</v>
      </c>
    </row>
    <row r="7" spans="1:25" x14ac:dyDescent="0.3">
      <c r="D7" s="54" t="s">
        <v>5</v>
      </c>
      <c r="E7" s="14">
        <v>25221</v>
      </c>
      <c r="J7" s="54" t="s">
        <v>41</v>
      </c>
      <c r="K7" s="14">
        <v>6069</v>
      </c>
    </row>
    <row r="8" spans="1:25" x14ac:dyDescent="0.3">
      <c r="D8" s="44" t="s">
        <v>36</v>
      </c>
      <c r="E8" s="14">
        <v>39620</v>
      </c>
      <c r="J8" s="44" t="s">
        <v>36</v>
      </c>
      <c r="K8" s="14">
        <v>5019</v>
      </c>
    </row>
    <row r="9" spans="1:25" x14ac:dyDescent="0.3">
      <c r="D9" s="54" t="s">
        <v>5</v>
      </c>
      <c r="E9" s="14">
        <v>39620</v>
      </c>
      <c r="J9" s="54" t="s">
        <v>8</v>
      </c>
      <c r="K9" s="14">
        <v>5019</v>
      </c>
    </row>
    <row r="10" spans="1:25" x14ac:dyDescent="0.3">
      <c r="D10" s="44" t="s">
        <v>34</v>
      </c>
      <c r="E10" s="14">
        <v>41559</v>
      </c>
      <c r="J10" s="44" t="s">
        <v>34</v>
      </c>
      <c r="K10" s="14">
        <v>5516</v>
      </c>
    </row>
    <row r="11" spans="1:25" x14ac:dyDescent="0.3">
      <c r="D11" s="54" t="s">
        <v>5</v>
      </c>
      <c r="E11" s="14">
        <v>41559</v>
      </c>
      <c r="J11" s="54" t="s">
        <v>8</v>
      </c>
      <c r="K11" s="14">
        <v>5516</v>
      </c>
    </row>
    <row r="12" spans="1:25" x14ac:dyDescent="0.3">
      <c r="D12" s="44" t="s">
        <v>37</v>
      </c>
      <c r="E12" s="14">
        <v>43568</v>
      </c>
      <c r="J12" s="44" t="s">
        <v>37</v>
      </c>
      <c r="K12" s="14">
        <v>7987</v>
      </c>
    </row>
    <row r="13" spans="1:25" x14ac:dyDescent="0.3">
      <c r="D13" s="54" t="s">
        <v>7</v>
      </c>
      <c r="E13" s="14">
        <v>43568</v>
      </c>
      <c r="J13" s="54" t="s">
        <v>10</v>
      </c>
      <c r="K13" s="14">
        <v>7987</v>
      </c>
    </row>
    <row r="14" spans="1:25" x14ac:dyDescent="0.3">
      <c r="D14" s="44" t="s">
        <v>39</v>
      </c>
      <c r="E14" s="14">
        <v>45752</v>
      </c>
      <c r="J14" s="44" t="s">
        <v>39</v>
      </c>
      <c r="K14" s="14">
        <v>3976</v>
      </c>
    </row>
    <row r="15" spans="1:25" x14ac:dyDescent="0.3">
      <c r="D15" s="54" t="s">
        <v>2</v>
      </c>
      <c r="E15" s="14">
        <v>45752</v>
      </c>
      <c r="J15" s="54" t="s">
        <v>41</v>
      </c>
      <c r="K15" s="14">
        <v>3976</v>
      </c>
    </row>
    <row r="16" spans="1:25" x14ac:dyDescent="0.3">
      <c r="D16" s="44" t="s">
        <v>35</v>
      </c>
      <c r="E16" s="14">
        <v>38325</v>
      </c>
      <c r="J16" s="44" t="s">
        <v>35</v>
      </c>
      <c r="K16" s="14">
        <v>2142</v>
      </c>
    </row>
    <row r="17" spans="4:11" x14ac:dyDescent="0.3">
      <c r="D17" s="54" t="s">
        <v>40</v>
      </c>
      <c r="E17" s="14">
        <v>38325</v>
      </c>
      <c r="J17" s="54" t="s">
        <v>2</v>
      </c>
      <c r="K17" s="14">
        <v>2142</v>
      </c>
    </row>
    <row r="18" spans="4:11" x14ac:dyDescent="0.3">
      <c r="D18" s="44" t="s">
        <v>74</v>
      </c>
      <c r="E18" s="14">
        <v>234045</v>
      </c>
      <c r="J18" s="44" t="s">
        <v>74</v>
      </c>
      <c r="K18" s="14">
        <v>30709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D98A5-FF63-4125-8E99-DF598E6E2E30}">
  <dimension ref="A1:X36"/>
  <sheetViews>
    <sheetView topLeftCell="A12" workbookViewId="0">
      <selection activeCell="J15" sqref="J15:L39"/>
    </sheetView>
  </sheetViews>
  <sheetFormatPr defaultRowHeight="14.4" x14ac:dyDescent="0.3"/>
  <cols>
    <col min="1" max="1" width="3.77734375" customWidth="1"/>
    <col min="2" max="4" width="8.88671875" customWidth="1"/>
    <col min="10" max="10" width="20.21875" bestFit="1" customWidth="1"/>
    <col min="11" max="11" width="14.44140625" bestFit="1" customWidth="1"/>
    <col min="12" max="12" width="12.21875" bestFit="1" customWidth="1"/>
    <col min="14" max="14" width="14.109375" customWidth="1"/>
  </cols>
  <sheetData>
    <row r="1" spans="1:24" ht="25.8" x14ac:dyDescent="0.5">
      <c r="A1" s="50">
        <v>8</v>
      </c>
      <c r="B1" s="34" t="s">
        <v>82</v>
      </c>
      <c r="C1" s="34"/>
      <c r="D1" s="34"/>
      <c r="E1" s="34"/>
      <c r="F1" s="34"/>
      <c r="G1" s="34"/>
      <c r="H1" s="34"/>
      <c r="I1" s="34"/>
      <c r="J1" s="34"/>
      <c r="K1" s="34"/>
      <c r="L1" s="34"/>
      <c r="M1" s="34"/>
      <c r="N1" s="34"/>
      <c r="O1" s="34"/>
      <c r="P1" s="34"/>
      <c r="Q1" s="34"/>
      <c r="R1" s="34"/>
      <c r="S1" s="34"/>
      <c r="T1" s="34"/>
      <c r="U1" s="34"/>
      <c r="V1" s="34"/>
      <c r="W1" s="34"/>
      <c r="X1" s="34"/>
    </row>
    <row r="2" spans="1:24" ht="25.8" x14ac:dyDescent="0.5">
      <c r="A2" s="50"/>
      <c r="B2" s="34"/>
      <c r="C2" s="34"/>
      <c r="D2" s="34"/>
      <c r="E2" s="34"/>
      <c r="F2" s="34"/>
      <c r="G2" s="34"/>
      <c r="H2" s="34"/>
      <c r="I2" s="34"/>
      <c r="J2" s="34"/>
      <c r="K2" s="34"/>
      <c r="L2" s="34"/>
      <c r="M2" s="34"/>
      <c r="N2" s="34"/>
      <c r="O2" s="34"/>
      <c r="P2" s="34"/>
      <c r="Q2" s="34"/>
      <c r="R2" s="34"/>
      <c r="S2" s="34"/>
      <c r="T2" s="34"/>
      <c r="U2" s="34"/>
      <c r="V2" s="34"/>
      <c r="W2" s="34"/>
    </row>
    <row r="15" spans="1:24" x14ac:dyDescent="0.3">
      <c r="J15" s="43" t="s">
        <v>73</v>
      </c>
      <c r="K15" t="s">
        <v>75</v>
      </c>
      <c r="L15" t="s">
        <v>86</v>
      </c>
    </row>
    <row r="16" spans="1:24" x14ac:dyDescent="0.3">
      <c r="J16" s="44" t="s">
        <v>14</v>
      </c>
      <c r="K16" s="14">
        <v>6867</v>
      </c>
      <c r="L16" s="14">
        <v>2</v>
      </c>
    </row>
    <row r="17" spans="10:12" x14ac:dyDescent="0.3">
      <c r="J17" s="44" t="s">
        <v>30</v>
      </c>
      <c r="K17" s="14">
        <v>10129</v>
      </c>
      <c r="L17" s="14">
        <v>1</v>
      </c>
    </row>
    <row r="18" spans="10:12" x14ac:dyDescent="0.3">
      <c r="J18" s="44" t="s">
        <v>24</v>
      </c>
      <c r="K18" s="14">
        <v>4760</v>
      </c>
      <c r="L18" s="14">
        <v>2</v>
      </c>
    </row>
    <row r="19" spans="10:12" x14ac:dyDescent="0.3">
      <c r="J19" s="44" t="s">
        <v>19</v>
      </c>
      <c r="K19" s="14">
        <v>5474</v>
      </c>
      <c r="L19" s="14">
        <v>1</v>
      </c>
    </row>
    <row r="20" spans="10:12" x14ac:dyDescent="0.3">
      <c r="J20" s="44" t="s">
        <v>22</v>
      </c>
      <c r="K20" s="14">
        <v>8288</v>
      </c>
      <c r="L20" s="14">
        <v>3</v>
      </c>
    </row>
    <row r="21" spans="10:12" x14ac:dyDescent="0.3">
      <c r="J21" s="44" t="s">
        <v>4</v>
      </c>
      <c r="K21" s="14">
        <v>16534</v>
      </c>
      <c r="L21" s="14">
        <v>3</v>
      </c>
    </row>
    <row r="22" spans="10:12" x14ac:dyDescent="0.3">
      <c r="J22" s="44" t="s">
        <v>26</v>
      </c>
      <c r="K22" s="14">
        <v>11886</v>
      </c>
      <c r="L22" s="14">
        <v>3</v>
      </c>
    </row>
    <row r="23" spans="10:12" x14ac:dyDescent="0.3">
      <c r="J23" s="44" t="s">
        <v>28</v>
      </c>
      <c r="K23" s="14">
        <v>12257</v>
      </c>
      <c r="L23" s="14">
        <v>2</v>
      </c>
    </row>
    <row r="24" spans="10:12" x14ac:dyDescent="0.3">
      <c r="J24" s="44" t="s">
        <v>32</v>
      </c>
      <c r="K24" s="14">
        <v>8827</v>
      </c>
      <c r="L24" s="14">
        <v>2</v>
      </c>
    </row>
    <row r="25" spans="10:12" x14ac:dyDescent="0.3">
      <c r="J25" s="44" t="s">
        <v>18</v>
      </c>
      <c r="K25" s="14">
        <v>1778</v>
      </c>
      <c r="L25" s="14">
        <v>1</v>
      </c>
    </row>
    <row r="26" spans="10:12" x14ac:dyDescent="0.3">
      <c r="J26" s="44" t="s">
        <v>17</v>
      </c>
      <c r="K26" s="14">
        <v>2408</v>
      </c>
      <c r="L26" s="14">
        <v>1</v>
      </c>
    </row>
    <row r="27" spans="10:12" x14ac:dyDescent="0.3">
      <c r="J27" s="44" t="s">
        <v>23</v>
      </c>
      <c r="K27" s="14">
        <v>6118</v>
      </c>
      <c r="L27" s="14">
        <v>2</v>
      </c>
    </row>
    <row r="28" spans="10:12" x14ac:dyDescent="0.3">
      <c r="J28" s="44" t="s">
        <v>29</v>
      </c>
      <c r="K28" s="14">
        <v>2541</v>
      </c>
      <c r="L28" s="14">
        <v>1</v>
      </c>
    </row>
    <row r="29" spans="10:12" x14ac:dyDescent="0.3">
      <c r="J29" s="44" t="s">
        <v>13</v>
      </c>
      <c r="K29" s="14">
        <v>16114</v>
      </c>
      <c r="L29" s="14">
        <v>6</v>
      </c>
    </row>
    <row r="30" spans="10:12" x14ac:dyDescent="0.3">
      <c r="J30" s="44" t="s">
        <v>16</v>
      </c>
      <c r="K30" s="14">
        <v>3584</v>
      </c>
      <c r="L30" s="14">
        <v>2</v>
      </c>
    </row>
    <row r="31" spans="10:12" x14ac:dyDescent="0.3">
      <c r="J31" s="44" t="s">
        <v>27</v>
      </c>
      <c r="K31" s="14">
        <v>3402</v>
      </c>
      <c r="L31" s="14">
        <v>2</v>
      </c>
    </row>
    <row r="32" spans="10:12" x14ac:dyDescent="0.3">
      <c r="J32" s="44" t="s">
        <v>33</v>
      </c>
      <c r="K32" s="14">
        <v>10465</v>
      </c>
      <c r="L32" s="14">
        <v>2</v>
      </c>
    </row>
    <row r="33" spans="10:12" x14ac:dyDescent="0.3">
      <c r="J33" s="44" t="s">
        <v>31</v>
      </c>
      <c r="K33" s="14">
        <v>8995</v>
      </c>
      <c r="L33" s="14">
        <v>3</v>
      </c>
    </row>
    <row r="34" spans="10:12" x14ac:dyDescent="0.3">
      <c r="J34" s="44" t="s">
        <v>21</v>
      </c>
      <c r="K34" s="14">
        <v>13755</v>
      </c>
      <c r="L34" s="14">
        <v>2</v>
      </c>
    </row>
    <row r="35" spans="10:12" x14ac:dyDescent="0.3">
      <c r="J35" s="44" t="s">
        <v>25</v>
      </c>
      <c r="K35" s="14">
        <v>14497</v>
      </c>
      <c r="L35" s="14">
        <v>5</v>
      </c>
    </row>
    <row r="36" spans="10:12" x14ac:dyDescent="0.3">
      <c r="J36" s="44" t="s">
        <v>74</v>
      </c>
      <c r="K36" s="14">
        <v>168679</v>
      </c>
      <c r="L36" s="14">
        <v>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CD7D5-CDBF-41A9-8BDD-EA7E307344A9}">
  <dimension ref="A1:X21"/>
  <sheetViews>
    <sheetView showGridLines="0" topLeftCell="A6" workbookViewId="0">
      <selection activeCell="I13" sqref="I13"/>
    </sheetView>
  </sheetViews>
  <sheetFormatPr defaultRowHeight="14.4" x14ac:dyDescent="0.3"/>
  <cols>
    <col min="1" max="1" width="4.44140625" customWidth="1"/>
    <col min="8" max="8" width="11.5546875" customWidth="1"/>
    <col min="15" max="15" width="12.109375" customWidth="1"/>
  </cols>
  <sheetData>
    <row r="1" spans="1:24" ht="25.8" x14ac:dyDescent="0.5">
      <c r="A1" s="50">
        <v>9</v>
      </c>
      <c r="B1" s="34" t="s">
        <v>87</v>
      </c>
      <c r="C1" s="34"/>
      <c r="D1" s="34"/>
      <c r="E1" s="34"/>
      <c r="F1" s="34"/>
      <c r="G1" s="34"/>
      <c r="H1" s="34"/>
      <c r="I1" s="34"/>
      <c r="J1" s="34"/>
      <c r="K1" s="34"/>
      <c r="L1" s="34"/>
      <c r="M1" s="34"/>
      <c r="N1" s="34"/>
      <c r="O1" s="34"/>
      <c r="P1" s="34"/>
      <c r="Q1" s="34"/>
      <c r="R1" s="34"/>
      <c r="S1" s="34"/>
      <c r="T1" s="34"/>
      <c r="U1" s="34"/>
      <c r="V1" s="34"/>
      <c r="W1" s="34"/>
      <c r="X1" s="23"/>
    </row>
    <row r="2" spans="1:24" ht="25.8" x14ac:dyDescent="0.5">
      <c r="A2" s="50"/>
      <c r="B2" s="34"/>
      <c r="C2" s="34"/>
      <c r="D2" s="34"/>
      <c r="E2" s="34"/>
      <c r="F2" s="34"/>
      <c r="G2" s="34"/>
      <c r="H2" s="34"/>
      <c r="I2" s="34"/>
      <c r="J2" s="34"/>
      <c r="K2" s="34"/>
      <c r="L2" s="34"/>
      <c r="M2" s="34"/>
      <c r="N2" s="34"/>
      <c r="O2" s="34"/>
      <c r="P2" s="34"/>
      <c r="Q2" s="34"/>
      <c r="R2" s="34"/>
      <c r="S2" s="34"/>
      <c r="T2" s="34"/>
      <c r="U2" s="34"/>
      <c r="V2" s="34"/>
      <c r="W2" s="34"/>
      <c r="X2" s="23"/>
    </row>
    <row r="5" spans="1:24" x14ac:dyDescent="0.3">
      <c r="B5" s="58" t="s">
        <v>91</v>
      </c>
      <c r="C5" s="59"/>
      <c r="D5" s="60" t="s">
        <v>34</v>
      </c>
      <c r="O5" s="59" t="s">
        <v>88</v>
      </c>
    </row>
    <row r="6" spans="1:24" x14ac:dyDescent="0.3">
      <c r="O6" s="59" t="s">
        <v>34</v>
      </c>
      <c r="Q6" t="s">
        <v>99</v>
      </c>
    </row>
    <row r="7" spans="1:24" x14ac:dyDescent="0.3">
      <c r="O7" s="59" t="s">
        <v>36</v>
      </c>
      <c r="Q7" t="s">
        <v>2</v>
      </c>
    </row>
    <row r="8" spans="1:24" x14ac:dyDescent="0.3">
      <c r="B8" s="72" t="s">
        <v>89</v>
      </c>
      <c r="C8" s="72"/>
      <c r="D8" s="72"/>
      <c r="E8" s="72"/>
      <c r="F8" s="72"/>
      <c r="H8" s="73" t="s">
        <v>97</v>
      </c>
      <c r="I8" s="73"/>
      <c r="J8" s="73"/>
      <c r="K8" s="73"/>
      <c r="L8" s="73"/>
      <c r="M8" s="73"/>
      <c r="O8" s="59" t="s">
        <v>35</v>
      </c>
      <c r="Q8" t="s">
        <v>8</v>
      </c>
    </row>
    <row r="9" spans="1:24" x14ac:dyDescent="0.3">
      <c r="O9" s="59" t="s">
        <v>38</v>
      </c>
      <c r="Q9" t="s">
        <v>41</v>
      </c>
    </row>
    <row r="10" spans="1:24" x14ac:dyDescent="0.3">
      <c r="O10" s="59" t="s">
        <v>39</v>
      </c>
      <c r="Q10" t="s">
        <v>7</v>
      </c>
    </row>
    <row r="11" spans="1:24" x14ac:dyDescent="0.3">
      <c r="B11" s="61" t="s">
        <v>90</v>
      </c>
      <c r="C11" s="59"/>
      <c r="D11" s="59"/>
      <c r="E11" s="59">
        <f>COUNTIF(Table2[Geography], D5)</f>
        <v>58</v>
      </c>
      <c r="H11" s="64" t="s">
        <v>11</v>
      </c>
      <c r="I11" s="65" t="s">
        <v>1</v>
      </c>
      <c r="J11" s="65" t="s">
        <v>50</v>
      </c>
      <c r="K11" s="65" t="s">
        <v>98</v>
      </c>
      <c r="O11" s="59" t="s">
        <v>37</v>
      </c>
      <c r="Q11" t="s">
        <v>6</v>
      </c>
    </row>
    <row r="12" spans="1:24" x14ac:dyDescent="0.3">
      <c r="H12" s="66" t="s">
        <v>8</v>
      </c>
      <c r="I12" s="67">
        <f>SUMIFS(Table2[Amount], Table2[Sales Person],$H12,Table2[Geography],$D5)</f>
        <v>5516</v>
      </c>
      <c r="J12" s="68">
        <v>339</v>
      </c>
      <c r="K12" s="69">
        <f>IF(I12&gt;12000,1,-1)</f>
        <v>-1</v>
      </c>
      <c r="Q12" t="s">
        <v>5</v>
      </c>
    </row>
    <row r="13" spans="1:24" x14ac:dyDescent="0.3">
      <c r="H13" s="66" t="s">
        <v>40</v>
      </c>
      <c r="I13" s="67">
        <v>12348</v>
      </c>
      <c r="J13" s="68">
        <v>234</v>
      </c>
      <c r="K13" s="69">
        <f t="shared" ref="K13:K21" si="0">IF(I13&gt;12000,1,-1)</f>
        <v>1</v>
      </c>
      <c r="Q13" t="s">
        <v>3</v>
      </c>
    </row>
    <row r="14" spans="1:24" x14ac:dyDescent="0.3">
      <c r="D14" s="57" t="s">
        <v>92</v>
      </c>
      <c r="E14" s="57" t="s">
        <v>93</v>
      </c>
      <c r="H14" s="66" t="s">
        <v>5</v>
      </c>
      <c r="I14" s="67">
        <v>10311</v>
      </c>
      <c r="J14" s="68">
        <v>231</v>
      </c>
      <c r="K14" s="69">
        <f t="shared" si="0"/>
        <v>-1</v>
      </c>
      <c r="Q14" t="s">
        <v>9</v>
      </c>
    </row>
    <row r="15" spans="1:24" x14ac:dyDescent="0.3">
      <c r="B15" s="36" t="s">
        <v>94</v>
      </c>
      <c r="C15" s="36"/>
      <c r="D15" s="62">
        <f>SUMIFS(Table2[Amount], Table2[Geography],D5)</f>
        <v>252469</v>
      </c>
      <c r="E15" s="62">
        <f>AVERAGEIFS(Table2[Amount], Table2[Geography], $D5)</f>
        <v>4352.9137931034484</v>
      </c>
      <c r="H15" s="66" t="s">
        <v>41</v>
      </c>
      <c r="I15" s="67">
        <v>11522</v>
      </c>
      <c r="J15" s="68">
        <v>204</v>
      </c>
      <c r="K15" s="69">
        <f t="shared" si="0"/>
        <v>-1</v>
      </c>
      <c r="Q15" t="s">
        <v>10</v>
      </c>
    </row>
    <row r="16" spans="1:24" x14ac:dyDescent="0.3">
      <c r="B16" s="36" t="s">
        <v>85</v>
      </c>
      <c r="C16" s="36"/>
      <c r="D16" s="62" t="e">
        <f>SUMIFS(Table2[cost], Table2[Geography],D5)</f>
        <v>#REF!</v>
      </c>
      <c r="E16" s="62" t="e">
        <f>AVERAGEIFS(Table2[cost], Table2[Geography],$D5)</f>
        <v>#REF!</v>
      </c>
      <c r="H16" s="66" t="s">
        <v>9</v>
      </c>
      <c r="I16" s="67">
        <v>13391</v>
      </c>
      <c r="J16" s="68">
        <v>201</v>
      </c>
      <c r="K16" s="69">
        <f t="shared" si="0"/>
        <v>1</v>
      </c>
      <c r="Q16" t="s">
        <v>40</v>
      </c>
    </row>
    <row r="17" spans="2:11" x14ac:dyDescent="0.3">
      <c r="B17" s="36" t="s">
        <v>95</v>
      </c>
      <c r="C17" s="36"/>
      <c r="D17" s="62" t="e">
        <f>D15-D16</f>
        <v>#REF!</v>
      </c>
      <c r="E17" s="62" t="e">
        <f>E15-E16</f>
        <v>#REF!</v>
      </c>
      <c r="H17" s="66" t="s">
        <v>6</v>
      </c>
      <c r="I17" s="67">
        <v>14329</v>
      </c>
      <c r="J17" s="68">
        <v>150</v>
      </c>
      <c r="K17" s="69">
        <f t="shared" si="0"/>
        <v>1</v>
      </c>
    </row>
    <row r="18" spans="2:11" x14ac:dyDescent="0.3">
      <c r="B18" s="36" t="s">
        <v>96</v>
      </c>
      <c r="C18" s="36"/>
      <c r="D18" s="63">
        <f>SUMIFS(Table2[Units], Table2[Geography],D5)</f>
        <v>8760</v>
      </c>
      <c r="E18" s="63">
        <f>AVERAGEIFS(Table2[Units], Table2[Geography],$D5)</f>
        <v>151.0344827586207</v>
      </c>
      <c r="H18" s="66" t="s">
        <v>7</v>
      </c>
      <c r="I18" s="67">
        <v>11571</v>
      </c>
      <c r="J18" s="68">
        <v>138</v>
      </c>
      <c r="K18" s="69">
        <f t="shared" si="0"/>
        <v>-1</v>
      </c>
    </row>
    <row r="19" spans="2:11" x14ac:dyDescent="0.3">
      <c r="H19" s="66" t="s">
        <v>2</v>
      </c>
      <c r="I19" s="67">
        <v>16184</v>
      </c>
      <c r="J19" s="68">
        <v>39</v>
      </c>
      <c r="K19" s="69">
        <f t="shared" si="0"/>
        <v>1</v>
      </c>
    </row>
    <row r="20" spans="2:11" x14ac:dyDescent="0.3">
      <c r="H20" s="66" t="s">
        <v>3</v>
      </c>
      <c r="I20" s="67">
        <v>12950</v>
      </c>
      <c r="J20" s="68">
        <v>30</v>
      </c>
      <c r="K20" s="69">
        <f t="shared" si="0"/>
        <v>1</v>
      </c>
    </row>
    <row r="21" spans="2:11" x14ac:dyDescent="0.3">
      <c r="H21" s="66" t="s">
        <v>10</v>
      </c>
      <c r="I21" s="67">
        <v>11417</v>
      </c>
      <c r="J21" s="68">
        <v>21</v>
      </c>
      <c r="K21" s="69">
        <f t="shared" si="0"/>
        <v>-1</v>
      </c>
    </row>
  </sheetData>
  <mergeCells count="2">
    <mergeCell ref="B8:F8"/>
    <mergeCell ref="H8:M8"/>
  </mergeCells>
  <conditionalFormatting sqref="I12:I21">
    <cfRule type="dataBar" priority="2">
      <dataBar>
        <cfvo type="min"/>
        <cfvo type="max"/>
        <color rgb="FF638EC6"/>
      </dataBar>
      <extLst>
        <ext xmlns:x14="http://schemas.microsoft.com/office/spreadsheetml/2009/9/main" uri="{B025F937-C7B1-47D3-B67F-A62EFF666E3E}">
          <x14:id>{F7FF2C89-1146-45F6-B111-889199340D46}</x14:id>
        </ext>
      </extLst>
    </cfRule>
  </conditionalFormatting>
  <conditionalFormatting sqref="K12:K21">
    <cfRule type="iconSet" priority="1">
      <iconSet iconSet="3Symbols" showValue="0">
        <cfvo type="percent" val="0"/>
        <cfvo type="percent" val="33"/>
        <cfvo type="percent" val="67"/>
      </iconSet>
    </cfRule>
  </conditionalFormatting>
  <dataValidations count="1">
    <dataValidation type="list" allowBlank="1" showInputMessage="1" showErrorMessage="1" sqref="D5" xr:uid="{93A6F933-73CF-4840-8BF6-EDA3CC3E68B5}">
      <formula1>$O$6:$O$11</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7FF2C89-1146-45F6-B111-889199340D46}">
            <x14:dataBar minLength="0" maxLength="100" gradient="0">
              <x14:cfvo type="autoMin"/>
              <x14:cfvo type="autoMax"/>
              <x14:negativeFillColor rgb="FFFF0000"/>
              <x14:axisColor rgb="FF000000"/>
            </x14:dataBar>
          </x14:cfRule>
          <xm:sqref>I12:I21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D1</vt:lpstr>
      <vt:lpstr>D2</vt:lpstr>
      <vt:lpstr>D3</vt:lpstr>
      <vt:lpstr>D4</vt:lpstr>
      <vt:lpstr>D5</vt:lpstr>
      <vt:lpstr>D6</vt:lpstr>
      <vt:lpstr>D7</vt:lpstr>
      <vt:lpstr>D8</vt:lpstr>
      <vt:lpstr>D9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MUSKAN KUMARI</cp:lastModifiedBy>
  <dcterms:created xsi:type="dcterms:W3CDTF">2021-03-14T20:21:32Z</dcterms:created>
  <dcterms:modified xsi:type="dcterms:W3CDTF">2026-04-13T15:13:20Z</dcterms:modified>
</cp:coreProperties>
</file>